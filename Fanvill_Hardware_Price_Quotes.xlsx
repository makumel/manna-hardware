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c fano\Documents\antigravity\fearless-chandrasekhar\"/>
    </mc:Choice>
  </mc:AlternateContent>
  <xr:revisionPtr revIDLastSave="0" documentId="13_ncr:1_{FAE94CC6-4624-4954-9A16-CAC0086F33B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Quote 01" sheetId="2" r:id="rId2"/>
    <sheet name="Quote 02" sheetId="3" r:id="rId3"/>
    <sheet name="Quote 03" sheetId="4" r:id="rId4"/>
    <sheet name="Quote 04" sheetId="5" r:id="rId5"/>
    <sheet name="Quote 05" sheetId="6" r:id="rId6"/>
    <sheet name="Quote 06" sheetId="7" r:id="rId7"/>
    <sheet name="Quote 07" sheetId="8" r:id="rId8"/>
    <sheet name="Quote 08" sheetId="9" r:id="rId9"/>
    <sheet name="Quote 09" sheetId="10" r:id="rId10"/>
    <sheet name="Quote 10" sheetId="11" r:id="rId11"/>
    <sheet name="Quote 11" sheetId="12" r:id="rId12"/>
    <sheet name="Quote 12" sheetId="13" r:id="rId13"/>
    <sheet name="Quote 13" sheetId="14" r:id="rId14"/>
    <sheet name="Quote 14" sheetId="15" r:id="rId15"/>
    <sheet name="Quote 15" sheetId="16" r:id="rId16"/>
    <sheet name="Quote 16" sheetId="17" r:id="rId17"/>
    <sheet name="Quote 17" sheetId="18" r:id="rId18"/>
    <sheet name="Quote 18" sheetId="19" r:id="rId19"/>
    <sheet name="Quote 19" sheetId="20" r:id="rId20"/>
    <sheet name="Quote 20" sheetId="21" r:id="rId21"/>
    <sheet name="Quote 21" sheetId="22" r:id="rId22"/>
    <sheet name="Quote 22" sheetId="23" r:id="rId23"/>
    <sheet name="Quote 23" sheetId="24" r:id="rId24"/>
    <sheet name="Quote 24" sheetId="25" r:id="rId25"/>
    <sheet name="Quote 25" sheetId="26" r:id="rId26"/>
    <sheet name="Quote 26" sheetId="27" r:id="rId27"/>
    <sheet name="Quote 27" sheetId="28" r:id="rId28"/>
    <sheet name="Quote 28" sheetId="29" r:id="rId29"/>
    <sheet name="Quote 29" sheetId="30" r:id="rId30"/>
    <sheet name="Quote 30" sheetId="31" r:id="rId31"/>
    <sheet name="Quote 31" sheetId="32" r:id="rId32"/>
    <sheet name="Quote 32" sheetId="33" r:id="rId33"/>
    <sheet name="Quote 33" sheetId="34" r:id="rId34"/>
    <sheet name="Quote 34" sheetId="35" r:id="rId35"/>
    <sheet name="Quote 35" sheetId="36" r:id="rId36"/>
    <sheet name="Quote 36" sheetId="37" r:id="rId37"/>
    <sheet name="Quote 37" sheetId="38" r:id="rId38"/>
    <sheet name="Quote 38" sheetId="39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G9" i="39"/>
  <c r="E9" i="39"/>
  <c r="G8" i="39"/>
  <c r="G10" i="39" s="1"/>
  <c r="F42" i="1" s="1"/>
  <c r="E8" i="39"/>
  <c r="E10" i="39" s="1"/>
  <c r="E42" i="1" s="1"/>
  <c r="G21" i="38"/>
  <c r="E21" i="38"/>
  <c r="G20" i="38"/>
  <c r="E20" i="38"/>
  <c r="G19" i="38"/>
  <c r="E19" i="38"/>
  <c r="G18" i="38"/>
  <c r="E18" i="38"/>
  <c r="G17" i="38"/>
  <c r="E17" i="38"/>
  <c r="G16" i="38"/>
  <c r="E16" i="38"/>
  <c r="G15" i="38"/>
  <c r="E15" i="38"/>
  <c r="G14" i="38"/>
  <c r="E14" i="38"/>
  <c r="G13" i="38"/>
  <c r="E13" i="38"/>
  <c r="G12" i="38"/>
  <c r="E12" i="38"/>
  <c r="G11" i="38"/>
  <c r="E11" i="38"/>
  <c r="G10" i="38"/>
  <c r="E10" i="38"/>
  <c r="G9" i="38"/>
  <c r="E9" i="38"/>
  <c r="G8" i="38"/>
  <c r="G22" i="38" s="1"/>
  <c r="F41" i="1" s="1"/>
  <c r="E8" i="38"/>
  <c r="E22" i="38" s="1"/>
  <c r="E41" i="1" s="1"/>
  <c r="G20" i="37"/>
  <c r="E20" i="37"/>
  <c r="G19" i="37"/>
  <c r="E19" i="37"/>
  <c r="G18" i="37"/>
  <c r="E18" i="37"/>
  <c r="G17" i="37"/>
  <c r="E17" i="37"/>
  <c r="G16" i="37"/>
  <c r="E16" i="37"/>
  <c r="G15" i="37"/>
  <c r="E15" i="37"/>
  <c r="G14" i="37"/>
  <c r="E14" i="37"/>
  <c r="G13" i="37"/>
  <c r="E13" i="37"/>
  <c r="G12" i="37"/>
  <c r="E12" i="37"/>
  <c r="G11" i="37"/>
  <c r="E11" i="37"/>
  <c r="G10" i="37"/>
  <c r="E10" i="37"/>
  <c r="G9" i="37"/>
  <c r="E9" i="37"/>
  <c r="G8" i="37"/>
  <c r="G21" i="37" s="1"/>
  <c r="F40" i="1" s="1"/>
  <c r="E8" i="37"/>
  <c r="E21" i="37" s="1"/>
  <c r="E40" i="1" s="1"/>
  <c r="G11" i="36"/>
  <c r="E11" i="36"/>
  <c r="G10" i="36"/>
  <c r="E10" i="36"/>
  <c r="G9" i="36"/>
  <c r="E9" i="36"/>
  <c r="G8" i="36"/>
  <c r="G12" i="36" s="1"/>
  <c r="F39" i="1" s="1"/>
  <c r="E8" i="36"/>
  <c r="E12" i="36" s="1"/>
  <c r="E39" i="1" s="1"/>
  <c r="G10" i="35"/>
  <c r="E10" i="35"/>
  <c r="G9" i="35"/>
  <c r="E9" i="35"/>
  <c r="G8" i="35"/>
  <c r="G11" i="35" s="1"/>
  <c r="F38" i="1" s="1"/>
  <c r="E8" i="35"/>
  <c r="E11" i="35" s="1"/>
  <c r="E38" i="1" s="1"/>
  <c r="G13" i="34"/>
  <c r="E13" i="34"/>
  <c r="G12" i="34"/>
  <c r="E12" i="34"/>
  <c r="G11" i="34"/>
  <c r="E11" i="34"/>
  <c r="G10" i="34"/>
  <c r="E10" i="34"/>
  <c r="G9" i="34"/>
  <c r="E9" i="34"/>
  <c r="G8" i="34"/>
  <c r="G14" i="34" s="1"/>
  <c r="F37" i="1" s="1"/>
  <c r="E8" i="34"/>
  <c r="E14" i="34" s="1"/>
  <c r="E37" i="1" s="1"/>
  <c r="G22" i="33"/>
  <c r="E22" i="33"/>
  <c r="G21" i="33"/>
  <c r="E21" i="33"/>
  <c r="G20" i="33"/>
  <c r="E20" i="33"/>
  <c r="G19" i="33"/>
  <c r="E19" i="33"/>
  <c r="G18" i="33"/>
  <c r="E18" i="33"/>
  <c r="G17" i="33"/>
  <c r="E17" i="33"/>
  <c r="G16" i="33"/>
  <c r="E16" i="33"/>
  <c r="G15" i="33"/>
  <c r="E15" i="33"/>
  <c r="G14" i="33"/>
  <c r="E14" i="33"/>
  <c r="G13" i="33"/>
  <c r="E13" i="33"/>
  <c r="G12" i="33"/>
  <c r="E12" i="33"/>
  <c r="G11" i="33"/>
  <c r="E11" i="33"/>
  <c r="G10" i="33"/>
  <c r="E10" i="33"/>
  <c r="G9" i="33"/>
  <c r="E9" i="33"/>
  <c r="G8" i="33"/>
  <c r="E8" i="33"/>
  <c r="G23" i="32"/>
  <c r="E23" i="32"/>
  <c r="G22" i="32"/>
  <c r="E22" i="32"/>
  <c r="G21" i="32"/>
  <c r="E21" i="32"/>
  <c r="G20" i="32"/>
  <c r="E20" i="32"/>
  <c r="G19" i="32"/>
  <c r="E19" i="32"/>
  <c r="G18" i="32"/>
  <c r="E18" i="32"/>
  <c r="G17" i="32"/>
  <c r="E17" i="32"/>
  <c r="G16" i="32"/>
  <c r="E16" i="32"/>
  <c r="G15" i="32"/>
  <c r="E15" i="32"/>
  <c r="G14" i="32"/>
  <c r="E14" i="32"/>
  <c r="G13" i="32"/>
  <c r="E13" i="32"/>
  <c r="G12" i="32"/>
  <c r="E12" i="32"/>
  <c r="G11" i="32"/>
  <c r="E11" i="32"/>
  <c r="G10" i="32"/>
  <c r="E10" i="32"/>
  <c r="G9" i="32"/>
  <c r="E9" i="32"/>
  <c r="G8" i="32"/>
  <c r="G24" i="32" s="1"/>
  <c r="F35" i="1" s="1"/>
  <c r="E8" i="32"/>
  <c r="E24" i="32" s="1"/>
  <c r="E35" i="1" s="1"/>
  <c r="G38" i="31"/>
  <c r="E38" i="31"/>
  <c r="G37" i="31"/>
  <c r="E37" i="31"/>
  <c r="G36" i="31"/>
  <c r="E36" i="31"/>
  <c r="G35" i="31"/>
  <c r="E35" i="31"/>
  <c r="G34" i="31"/>
  <c r="E34" i="31"/>
  <c r="G33" i="31"/>
  <c r="E33" i="31"/>
  <c r="G32" i="31"/>
  <c r="E32" i="31"/>
  <c r="G31" i="31"/>
  <c r="E31" i="31"/>
  <c r="G30" i="31"/>
  <c r="E30" i="31"/>
  <c r="G29" i="31"/>
  <c r="E29" i="31"/>
  <c r="G28" i="31"/>
  <c r="E28" i="31"/>
  <c r="G27" i="31"/>
  <c r="E27" i="31"/>
  <c r="G26" i="31"/>
  <c r="E26" i="31"/>
  <c r="G25" i="31"/>
  <c r="E25" i="31"/>
  <c r="G24" i="31"/>
  <c r="E24" i="31"/>
  <c r="G23" i="31"/>
  <c r="E23" i="31"/>
  <c r="G22" i="31"/>
  <c r="E22" i="31"/>
  <c r="E39" i="31" s="1"/>
  <c r="E34" i="1" s="1"/>
  <c r="G21" i="31"/>
  <c r="G39" i="31" s="1"/>
  <c r="F34" i="1" s="1"/>
  <c r="E21" i="31"/>
  <c r="G20" i="31"/>
  <c r="E20" i="31"/>
  <c r="G19" i="31"/>
  <c r="E19" i="31"/>
  <c r="G18" i="31"/>
  <c r="E18" i="31"/>
  <c r="G17" i="31"/>
  <c r="E17" i="31"/>
  <c r="G16" i="31"/>
  <c r="E16" i="31"/>
  <c r="G15" i="31"/>
  <c r="E15" i="31"/>
  <c r="G14" i="31"/>
  <c r="E14" i="31"/>
  <c r="G13" i="31"/>
  <c r="E13" i="31"/>
  <c r="G12" i="31"/>
  <c r="E12" i="31"/>
  <c r="G11" i="31"/>
  <c r="E11" i="31"/>
  <c r="G10" i="31"/>
  <c r="E10" i="31"/>
  <c r="G9" i="31"/>
  <c r="E9" i="31"/>
  <c r="G8" i="31"/>
  <c r="E8" i="31"/>
  <c r="G12" i="30"/>
  <c r="E12" i="30"/>
  <c r="G11" i="30"/>
  <c r="E11" i="30"/>
  <c r="G10" i="30"/>
  <c r="E10" i="30"/>
  <c r="G9" i="30"/>
  <c r="E9" i="30"/>
  <c r="G8" i="30"/>
  <c r="G13" i="30" s="1"/>
  <c r="F33" i="1" s="1"/>
  <c r="E8" i="30"/>
  <c r="E13" i="30" s="1"/>
  <c r="E33" i="1" s="1"/>
  <c r="G12" i="29"/>
  <c r="E12" i="29"/>
  <c r="G11" i="29"/>
  <c r="E11" i="29"/>
  <c r="G10" i="29"/>
  <c r="E10" i="29"/>
  <c r="G9" i="29"/>
  <c r="E9" i="29"/>
  <c r="G8" i="29"/>
  <c r="G13" i="29" s="1"/>
  <c r="F32" i="1" s="1"/>
  <c r="E8" i="29"/>
  <c r="E13" i="29" s="1"/>
  <c r="E32" i="1" s="1"/>
  <c r="G17" i="28"/>
  <c r="E17" i="28"/>
  <c r="G16" i="28"/>
  <c r="E16" i="28"/>
  <c r="G15" i="28"/>
  <c r="E15" i="28"/>
  <c r="G14" i="28"/>
  <c r="E14" i="28"/>
  <c r="G13" i="28"/>
  <c r="E13" i="28"/>
  <c r="G12" i="28"/>
  <c r="E12" i="28"/>
  <c r="G11" i="28"/>
  <c r="E11" i="28"/>
  <c r="G10" i="28"/>
  <c r="E10" i="28"/>
  <c r="G9" i="28"/>
  <c r="E9" i="28"/>
  <c r="G8" i="28"/>
  <c r="G18" i="28" s="1"/>
  <c r="F31" i="1" s="1"/>
  <c r="E8" i="28"/>
  <c r="E18" i="28" s="1"/>
  <c r="E31" i="1" s="1"/>
  <c r="G35" i="27"/>
  <c r="E35" i="27"/>
  <c r="G34" i="27"/>
  <c r="E34" i="27"/>
  <c r="G33" i="27"/>
  <c r="E33" i="27"/>
  <c r="G32" i="27"/>
  <c r="E32" i="27"/>
  <c r="G31" i="27"/>
  <c r="E31" i="27"/>
  <c r="G30" i="27"/>
  <c r="E30" i="27"/>
  <c r="G29" i="27"/>
  <c r="E29" i="27"/>
  <c r="G28" i="27"/>
  <c r="E28" i="27"/>
  <c r="G27" i="27"/>
  <c r="E27" i="27"/>
  <c r="G26" i="27"/>
  <c r="E26" i="27"/>
  <c r="G25" i="27"/>
  <c r="E25" i="27"/>
  <c r="G24" i="27"/>
  <c r="G36" i="27" s="1"/>
  <c r="F30" i="1" s="1"/>
  <c r="E24" i="27"/>
  <c r="E36" i="27" s="1"/>
  <c r="E30" i="1" s="1"/>
  <c r="G23" i="27"/>
  <c r="E23" i="27"/>
  <c r="G22" i="27"/>
  <c r="E22" i="27"/>
  <c r="G21" i="27"/>
  <c r="E21" i="27"/>
  <c r="G20" i="27"/>
  <c r="E20" i="27"/>
  <c r="G19" i="27"/>
  <c r="E19" i="27"/>
  <c r="G18" i="27"/>
  <c r="E18" i="27"/>
  <c r="G17" i="27"/>
  <c r="E17" i="27"/>
  <c r="G16" i="27"/>
  <c r="E16" i="27"/>
  <c r="G15" i="27"/>
  <c r="E15" i="27"/>
  <c r="G14" i="27"/>
  <c r="E14" i="27"/>
  <c r="G13" i="27"/>
  <c r="E13" i="27"/>
  <c r="G12" i="27"/>
  <c r="E12" i="27"/>
  <c r="G11" i="27"/>
  <c r="E11" i="27"/>
  <c r="G10" i="27"/>
  <c r="E10" i="27"/>
  <c r="G9" i="27"/>
  <c r="E9" i="27"/>
  <c r="G8" i="27"/>
  <c r="E8" i="27"/>
  <c r="G8" i="26"/>
  <c r="G9" i="26" s="1"/>
  <c r="F29" i="1" s="1"/>
  <c r="E8" i="26"/>
  <c r="E9" i="26" s="1"/>
  <c r="E29" i="1" s="1"/>
  <c r="G16" i="25"/>
  <c r="E16" i="25"/>
  <c r="G15" i="25"/>
  <c r="E15" i="25"/>
  <c r="G14" i="25"/>
  <c r="E14" i="25"/>
  <c r="G13" i="25"/>
  <c r="E13" i="25"/>
  <c r="G12" i="25"/>
  <c r="E12" i="25"/>
  <c r="G11" i="25"/>
  <c r="E11" i="25"/>
  <c r="G10" i="25"/>
  <c r="E10" i="25"/>
  <c r="G9" i="25"/>
  <c r="E9" i="25"/>
  <c r="G8" i="25"/>
  <c r="G17" i="25" s="1"/>
  <c r="F28" i="1" s="1"/>
  <c r="E8" i="25"/>
  <c r="E17" i="25" s="1"/>
  <c r="E28" i="1" s="1"/>
  <c r="G21" i="24"/>
  <c r="E21" i="24"/>
  <c r="G20" i="24"/>
  <c r="E20" i="24"/>
  <c r="G19" i="24"/>
  <c r="E19" i="24"/>
  <c r="G18" i="24"/>
  <c r="E18" i="24"/>
  <c r="G17" i="24"/>
  <c r="E17" i="24"/>
  <c r="G16" i="24"/>
  <c r="E16" i="24"/>
  <c r="G15" i="24"/>
  <c r="E15" i="24"/>
  <c r="G14" i="24"/>
  <c r="E14" i="24"/>
  <c r="G13" i="24"/>
  <c r="E13" i="24"/>
  <c r="G12" i="24"/>
  <c r="E12" i="24"/>
  <c r="G11" i="24"/>
  <c r="E11" i="24"/>
  <c r="G10" i="24"/>
  <c r="E10" i="24"/>
  <c r="G9" i="24"/>
  <c r="E9" i="24"/>
  <c r="G8" i="24"/>
  <c r="G22" i="24" s="1"/>
  <c r="F27" i="1" s="1"/>
  <c r="E8" i="24"/>
  <c r="E22" i="24" s="1"/>
  <c r="E27" i="1" s="1"/>
  <c r="G28" i="23"/>
  <c r="E28" i="23"/>
  <c r="G27" i="23"/>
  <c r="E27" i="23"/>
  <c r="G26" i="23"/>
  <c r="E26" i="23"/>
  <c r="G25" i="23"/>
  <c r="E25" i="23"/>
  <c r="G24" i="23"/>
  <c r="E24" i="23"/>
  <c r="E29" i="23" s="1"/>
  <c r="E26" i="1" s="1"/>
  <c r="G23" i="23"/>
  <c r="G29" i="23" s="1"/>
  <c r="F26" i="1" s="1"/>
  <c r="E23" i="23"/>
  <c r="G22" i="23"/>
  <c r="E22" i="23"/>
  <c r="G21" i="23"/>
  <c r="E21" i="23"/>
  <c r="G20" i="23"/>
  <c r="E20" i="23"/>
  <c r="G19" i="23"/>
  <c r="E19" i="23"/>
  <c r="G18" i="23"/>
  <c r="E18" i="23"/>
  <c r="G17" i="23"/>
  <c r="E17" i="23"/>
  <c r="G16" i="23"/>
  <c r="E16" i="23"/>
  <c r="G15" i="23"/>
  <c r="E15" i="23"/>
  <c r="G14" i="23"/>
  <c r="E14" i="23"/>
  <c r="G13" i="23"/>
  <c r="E13" i="23"/>
  <c r="G12" i="23"/>
  <c r="E12" i="23"/>
  <c r="G11" i="23"/>
  <c r="E11" i="23"/>
  <c r="G10" i="23"/>
  <c r="E10" i="23"/>
  <c r="G9" i="23"/>
  <c r="E9" i="23"/>
  <c r="G8" i="23"/>
  <c r="E8" i="23"/>
  <c r="G10" i="22"/>
  <c r="E10" i="22"/>
  <c r="G9" i="22"/>
  <c r="E9" i="22"/>
  <c r="G8" i="22"/>
  <c r="G11" i="22" s="1"/>
  <c r="F25" i="1" s="1"/>
  <c r="E8" i="22"/>
  <c r="E11" i="22" s="1"/>
  <c r="E25" i="1" s="1"/>
  <c r="G8" i="21"/>
  <c r="G9" i="21" s="1"/>
  <c r="F24" i="1" s="1"/>
  <c r="E8" i="21"/>
  <c r="E9" i="21" s="1"/>
  <c r="E24" i="1" s="1"/>
  <c r="G19" i="20"/>
  <c r="E19" i="20"/>
  <c r="G18" i="20"/>
  <c r="E18" i="20"/>
  <c r="G17" i="20"/>
  <c r="E17" i="20"/>
  <c r="G16" i="20"/>
  <c r="E16" i="20"/>
  <c r="G15" i="20"/>
  <c r="E15" i="20"/>
  <c r="G14" i="20"/>
  <c r="E14" i="20"/>
  <c r="G13" i="20"/>
  <c r="E13" i="20"/>
  <c r="G12" i="20"/>
  <c r="E12" i="20"/>
  <c r="G11" i="20"/>
  <c r="E11" i="20"/>
  <c r="G10" i="20"/>
  <c r="E10" i="20"/>
  <c r="G9" i="20"/>
  <c r="E9" i="20"/>
  <c r="G8" i="20"/>
  <c r="G20" i="20" s="1"/>
  <c r="F23" i="1" s="1"/>
  <c r="E8" i="20"/>
  <c r="E20" i="20" s="1"/>
  <c r="E23" i="1" s="1"/>
  <c r="G24" i="19"/>
  <c r="F22" i="1" s="1"/>
  <c r="G23" i="19"/>
  <c r="E23" i="19"/>
  <c r="G22" i="19"/>
  <c r="E22" i="19"/>
  <c r="G21" i="19"/>
  <c r="E21" i="19"/>
  <c r="G20" i="19"/>
  <c r="E20" i="19"/>
  <c r="G19" i="19"/>
  <c r="E19" i="19"/>
  <c r="G18" i="19"/>
  <c r="E18" i="19"/>
  <c r="G17" i="19"/>
  <c r="E17" i="19"/>
  <c r="G16" i="19"/>
  <c r="E16" i="19"/>
  <c r="G15" i="19"/>
  <c r="E15" i="19"/>
  <c r="G14" i="19"/>
  <c r="E14" i="19"/>
  <c r="G13" i="19"/>
  <c r="E13" i="19"/>
  <c r="G12" i="19"/>
  <c r="E12" i="19"/>
  <c r="G11" i="19"/>
  <c r="E11" i="19"/>
  <c r="G10" i="19"/>
  <c r="E10" i="19"/>
  <c r="E24" i="19" s="1"/>
  <c r="E22" i="1" s="1"/>
  <c r="G9" i="19"/>
  <c r="E9" i="19"/>
  <c r="G8" i="19"/>
  <c r="E8" i="19"/>
  <c r="G29" i="18"/>
  <c r="E29" i="18"/>
  <c r="G28" i="18"/>
  <c r="E28" i="18"/>
  <c r="G27" i="18"/>
  <c r="E27" i="18"/>
  <c r="G26" i="18"/>
  <c r="E26" i="18"/>
  <c r="G25" i="18"/>
  <c r="E25" i="18"/>
  <c r="G24" i="18"/>
  <c r="E24" i="18"/>
  <c r="G23" i="18"/>
  <c r="E23" i="18"/>
  <c r="G22" i="18"/>
  <c r="E22" i="18"/>
  <c r="G21" i="18"/>
  <c r="E21" i="18"/>
  <c r="G20" i="18"/>
  <c r="E20" i="18"/>
  <c r="G19" i="18"/>
  <c r="E19" i="18"/>
  <c r="G18" i="18"/>
  <c r="E18" i="18"/>
  <c r="G17" i="18"/>
  <c r="E17" i="18"/>
  <c r="G16" i="18"/>
  <c r="E16" i="18"/>
  <c r="G15" i="18"/>
  <c r="E15" i="18"/>
  <c r="G14" i="18"/>
  <c r="E14" i="18"/>
  <c r="G13" i="18"/>
  <c r="E13" i="18"/>
  <c r="G12" i="18"/>
  <c r="E12" i="18"/>
  <c r="G11" i="18"/>
  <c r="E11" i="18"/>
  <c r="G10" i="18"/>
  <c r="E10" i="18"/>
  <c r="G9" i="18"/>
  <c r="E9" i="18"/>
  <c r="G8" i="18"/>
  <c r="G30" i="18" s="1"/>
  <c r="F21" i="1" s="1"/>
  <c r="E8" i="18"/>
  <c r="E30" i="18" s="1"/>
  <c r="E21" i="1" s="1"/>
  <c r="G13" i="17"/>
  <c r="E13" i="17"/>
  <c r="G12" i="17"/>
  <c r="E12" i="17"/>
  <c r="G11" i="17"/>
  <c r="E11" i="17"/>
  <c r="G10" i="17"/>
  <c r="E10" i="17"/>
  <c r="G9" i="17"/>
  <c r="E9" i="17"/>
  <c r="G8" i="17"/>
  <c r="G14" i="17" s="1"/>
  <c r="F20" i="1" s="1"/>
  <c r="E8" i="17"/>
  <c r="E14" i="17" s="1"/>
  <c r="E20" i="1" s="1"/>
  <c r="G24" i="16"/>
  <c r="E24" i="16"/>
  <c r="G23" i="16"/>
  <c r="E23" i="16"/>
  <c r="G22" i="16"/>
  <c r="E22" i="16"/>
  <c r="G21" i="16"/>
  <c r="E21" i="16"/>
  <c r="G20" i="16"/>
  <c r="E20" i="16"/>
  <c r="G19" i="16"/>
  <c r="E19" i="16"/>
  <c r="G18" i="16"/>
  <c r="E18" i="16"/>
  <c r="G17" i="16"/>
  <c r="E17" i="16"/>
  <c r="G16" i="16"/>
  <c r="E16" i="16"/>
  <c r="G15" i="16"/>
  <c r="E15" i="16"/>
  <c r="G14" i="16"/>
  <c r="E14" i="16"/>
  <c r="G13" i="16"/>
  <c r="E13" i="16"/>
  <c r="G12" i="16"/>
  <c r="E12" i="16"/>
  <c r="G11" i="16"/>
  <c r="E11" i="16"/>
  <c r="G10" i="16"/>
  <c r="E10" i="16"/>
  <c r="G9" i="16"/>
  <c r="E9" i="16"/>
  <c r="E25" i="16" s="1"/>
  <c r="E19" i="1" s="1"/>
  <c r="G8" i="16"/>
  <c r="G25" i="16" s="1"/>
  <c r="F19" i="1" s="1"/>
  <c r="E8" i="16"/>
  <c r="G12" i="15"/>
  <c r="E12" i="15"/>
  <c r="G11" i="15"/>
  <c r="E11" i="15"/>
  <c r="G10" i="15"/>
  <c r="E10" i="15"/>
  <c r="G9" i="15"/>
  <c r="E9" i="15"/>
  <c r="G8" i="15"/>
  <c r="G13" i="15" s="1"/>
  <c r="F18" i="1" s="1"/>
  <c r="E8" i="15"/>
  <c r="E13" i="15" s="1"/>
  <c r="E18" i="1" s="1"/>
  <c r="G19" i="14"/>
  <c r="E19" i="14"/>
  <c r="G18" i="14"/>
  <c r="E18" i="14"/>
  <c r="G17" i="14"/>
  <c r="E17" i="14"/>
  <c r="G16" i="14"/>
  <c r="E16" i="14"/>
  <c r="G15" i="14"/>
  <c r="E15" i="14"/>
  <c r="G14" i="14"/>
  <c r="E14" i="14"/>
  <c r="G13" i="14"/>
  <c r="E13" i="14"/>
  <c r="G12" i="14"/>
  <c r="E12" i="14"/>
  <c r="G11" i="14"/>
  <c r="E11" i="14"/>
  <c r="G10" i="14"/>
  <c r="E10" i="14"/>
  <c r="G9" i="14"/>
  <c r="E9" i="14"/>
  <c r="G8" i="14"/>
  <c r="G20" i="14" s="1"/>
  <c r="F17" i="1" s="1"/>
  <c r="E8" i="14"/>
  <c r="E20" i="14" s="1"/>
  <c r="E17" i="1" s="1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G16" i="13" s="1"/>
  <c r="F16" i="1" s="1"/>
  <c r="E8" i="13"/>
  <c r="E16" i="13" s="1"/>
  <c r="E16" i="1" s="1"/>
  <c r="G26" i="12"/>
  <c r="E26" i="12"/>
  <c r="G25" i="12"/>
  <c r="E25" i="12"/>
  <c r="G24" i="12"/>
  <c r="E24" i="12"/>
  <c r="G23" i="12"/>
  <c r="E23" i="12"/>
  <c r="G22" i="12"/>
  <c r="E22" i="12"/>
  <c r="G21" i="12"/>
  <c r="E21" i="12"/>
  <c r="G20" i="12"/>
  <c r="E20" i="12"/>
  <c r="G19" i="12"/>
  <c r="E19" i="12"/>
  <c r="G18" i="12"/>
  <c r="E18" i="12"/>
  <c r="G17" i="12"/>
  <c r="E17" i="12"/>
  <c r="G16" i="12"/>
  <c r="E16" i="12"/>
  <c r="G15" i="12"/>
  <c r="E15" i="12"/>
  <c r="G14" i="12"/>
  <c r="E14" i="12"/>
  <c r="G13" i="12"/>
  <c r="E13" i="12"/>
  <c r="G12" i="12"/>
  <c r="E12" i="12"/>
  <c r="G11" i="12"/>
  <c r="E11" i="12"/>
  <c r="G10" i="12"/>
  <c r="E10" i="12"/>
  <c r="G9" i="12"/>
  <c r="E9" i="12"/>
  <c r="G8" i="12"/>
  <c r="G27" i="12" s="1"/>
  <c r="F15" i="1" s="1"/>
  <c r="E8" i="12"/>
  <c r="E27" i="12" s="1"/>
  <c r="E15" i="1" s="1"/>
  <c r="G23" i="11"/>
  <c r="E23" i="11"/>
  <c r="G22" i="11"/>
  <c r="E22" i="11"/>
  <c r="G21" i="11"/>
  <c r="E21" i="11"/>
  <c r="G20" i="11"/>
  <c r="E20" i="11"/>
  <c r="G19" i="11"/>
  <c r="E19" i="11"/>
  <c r="G18" i="11"/>
  <c r="E18" i="11"/>
  <c r="G17" i="11"/>
  <c r="E17" i="11"/>
  <c r="G16" i="11"/>
  <c r="E16" i="11"/>
  <c r="G15" i="11"/>
  <c r="E15" i="11"/>
  <c r="G14" i="11"/>
  <c r="E14" i="11"/>
  <c r="G13" i="11"/>
  <c r="E13" i="11"/>
  <c r="G12" i="11"/>
  <c r="E12" i="11"/>
  <c r="G11" i="11"/>
  <c r="E11" i="11"/>
  <c r="G10" i="11"/>
  <c r="E10" i="11"/>
  <c r="G9" i="11"/>
  <c r="E9" i="11"/>
  <c r="G8" i="11"/>
  <c r="G24" i="11" s="1"/>
  <c r="F14" i="1" s="1"/>
  <c r="E8" i="11"/>
  <c r="E24" i="11" s="1"/>
  <c r="E14" i="1" s="1"/>
  <c r="G32" i="10"/>
  <c r="E32" i="10"/>
  <c r="G31" i="10"/>
  <c r="E31" i="10"/>
  <c r="G30" i="10"/>
  <c r="E30" i="10"/>
  <c r="G29" i="10"/>
  <c r="E29" i="10"/>
  <c r="G28" i="10"/>
  <c r="E28" i="10"/>
  <c r="G27" i="10"/>
  <c r="E27" i="10"/>
  <c r="G26" i="10"/>
  <c r="E26" i="10"/>
  <c r="G25" i="10"/>
  <c r="E25" i="10"/>
  <c r="G24" i="10"/>
  <c r="E24" i="10"/>
  <c r="G23" i="10"/>
  <c r="E23" i="10"/>
  <c r="G22" i="10"/>
  <c r="E22" i="10"/>
  <c r="G21" i="10"/>
  <c r="E21" i="10"/>
  <c r="G20" i="10"/>
  <c r="E20" i="10"/>
  <c r="G19" i="10"/>
  <c r="E19" i="10"/>
  <c r="G18" i="10"/>
  <c r="E18" i="10"/>
  <c r="G17" i="10"/>
  <c r="E17" i="10"/>
  <c r="G16" i="10"/>
  <c r="E16" i="10"/>
  <c r="G15" i="10"/>
  <c r="E15" i="10"/>
  <c r="G14" i="10"/>
  <c r="E14" i="10"/>
  <c r="G13" i="10"/>
  <c r="E13" i="10"/>
  <c r="G12" i="10"/>
  <c r="E12" i="10"/>
  <c r="G11" i="10"/>
  <c r="E11" i="10"/>
  <c r="G10" i="10"/>
  <c r="E10" i="10"/>
  <c r="G9" i="10"/>
  <c r="E9" i="10"/>
  <c r="G8" i="10"/>
  <c r="G33" i="10" s="1"/>
  <c r="F13" i="1" s="1"/>
  <c r="E8" i="10"/>
  <c r="E33" i="10" s="1"/>
  <c r="E13" i="1" s="1"/>
  <c r="G11" i="9"/>
  <c r="E11" i="9"/>
  <c r="G10" i="9"/>
  <c r="E10" i="9"/>
  <c r="G9" i="9"/>
  <c r="E9" i="9"/>
  <c r="G8" i="9"/>
  <c r="G12" i="9" s="1"/>
  <c r="F12" i="1" s="1"/>
  <c r="E8" i="9"/>
  <c r="E12" i="9" s="1"/>
  <c r="E12" i="1" s="1"/>
  <c r="G32" i="8"/>
  <c r="E32" i="8"/>
  <c r="G31" i="8"/>
  <c r="E31" i="8"/>
  <c r="G30" i="8"/>
  <c r="E30" i="8"/>
  <c r="G29" i="8"/>
  <c r="E29" i="8"/>
  <c r="G28" i="8"/>
  <c r="E28" i="8"/>
  <c r="G27" i="8"/>
  <c r="E27" i="8"/>
  <c r="G26" i="8"/>
  <c r="E26" i="8"/>
  <c r="G25" i="8"/>
  <c r="E25" i="8"/>
  <c r="G24" i="8"/>
  <c r="E24" i="8"/>
  <c r="G23" i="8"/>
  <c r="E23" i="8"/>
  <c r="G22" i="8"/>
  <c r="E22" i="8"/>
  <c r="G21" i="8"/>
  <c r="E21" i="8"/>
  <c r="G20" i="8"/>
  <c r="E20" i="8"/>
  <c r="G19" i="8"/>
  <c r="E19" i="8"/>
  <c r="G18" i="8"/>
  <c r="E18" i="8"/>
  <c r="G17" i="8"/>
  <c r="E17" i="8"/>
  <c r="G16" i="8"/>
  <c r="E16" i="8"/>
  <c r="G15" i="8"/>
  <c r="E15" i="8"/>
  <c r="G14" i="8"/>
  <c r="E14" i="8"/>
  <c r="G13" i="8"/>
  <c r="E13" i="8"/>
  <c r="G12" i="8"/>
  <c r="E12" i="8"/>
  <c r="G11" i="8"/>
  <c r="E11" i="8"/>
  <c r="G10" i="8"/>
  <c r="E10" i="8"/>
  <c r="G9" i="8"/>
  <c r="E9" i="8"/>
  <c r="G8" i="8"/>
  <c r="G33" i="8" s="1"/>
  <c r="F11" i="1" s="1"/>
  <c r="E8" i="8"/>
  <c r="E33" i="8" s="1"/>
  <c r="E11" i="1" s="1"/>
  <c r="G22" i="7"/>
  <c r="E22" i="7"/>
  <c r="G21" i="7"/>
  <c r="E21" i="7"/>
  <c r="G20" i="7"/>
  <c r="E20" i="7"/>
  <c r="G19" i="7"/>
  <c r="E19" i="7"/>
  <c r="G18" i="7"/>
  <c r="E18" i="7"/>
  <c r="G17" i="7"/>
  <c r="E17" i="7"/>
  <c r="G16" i="7"/>
  <c r="E16" i="7"/>
  <c r="G15" i="7"/>
  <c r="E15" i="7"/>
  <c r="G14" i="7"/>
  <c r="E14" i="7"/>
  <c r="G13" i="7"/>
  <c r="E13" i="7"/>
  <c r="G12" i="7"/>
  <c r="E12" i="7"/>
  <c r="G11" i="7"/>
  <c r="E11" i="7"/>
  <c r="G10" i="7"/>
  <c r="E10" i="7"/>
  <c r="G9" i="7"/>
  <c r="E9" i="7"/>
  <c r="G8" i="7"/>
  <c r="G23" i="7" s="1"/>
  <c r="F10" i="1" s="1"/>
  <c r="E8" i="7"/>
  <c r="E23" i="7" s="1"/>
  <c r="E10" i="1" s="1"/>
  <c r="G18" i="6"/>
  <c r="E18" i="6"/>
  <c r="G17" i="6"/>
  <c r="E17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G19" i="6" s="1"/>
  <c r="F9" i="1" s="1"/>
  <c r="E10" i="6"/>
  <c r="G9" i="6"/>
  <c r="E9" i="6"/>
  <c r="G8" i="6"/>
  <c r="E8" i="6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G19" i="5" s="1"/>
  <c r="F8" i="1" s="1"/>
  <c r="E8" i="5"/>
  <c r="E19" i="5" s="1"/>
  <c r="E8" i="1" s="1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G17" i="4" s="1"/>
  <c r="F7" i="1" s="1"/>
  <c r="E8" i="4"/>
  <c r="E17" i="4" s="1"/>
  <c r="E7" i="1" s="1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G35" i="3" s="1"/>
  <c r="F6" i="1" s="1"/>
  <c r="E11" i="3"/>
  <c r="E35" i="3" s="1"/>
  <c r="E6" i="1" s="1"/>
  <c r="G10" i="3"/>
  <c r="E10" i="3"/>
  <c r="G9" i="3"/>
  <c r="E9" i="3"/>
  <c r="G8" i="3"/>
  <c r="E8" i="3"/>
  <c r="G63" i="2"/>
  <c r="E63" i="2"/>
  <c r="G62" i="2"/>
  <c r="E62" i="2"/>
  <c r="G61" i="2"/>
  <c r="E61" i="2"/>
  <c r="G60" i="2"/>
  <c r="E60" i="2"/>
  <c r="G59" i="2"/>
  <c r="E59" i="2"/>
  <c r="G58" i="2"/>
  <c r="E58" i="2"/>
  <c r="G57" i="2"/>
  <c r="E57" i="2"/>
  <c r="G56" i="2"/>
  <c r="E56" i="2"/>
  <c r="G55" i="2"/>
  <c r="E55" i="2"/>
  <c r="G54" i="2"/>
  <c r="E54" i="2"/>
  <c r="G53" i="2"/>
  <c r="E53" i="2"/>
  <c r="G52" i="2"/>
  <c r="E52" i="2"/>
  <c r="G51" i="2"/>
  <c r="E51" i="2"/>
  <c r="G50" i="2"/>
  <c r="E50" i="2"/>
  <c r="G49" i="2"/>
  <c r="E49" i="2"/>
  <c r="G48" i="2"/>
  <c r="E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G11" i="2"/>
  <c r="E11" i="2"/>
  <c r="G10" i="2"/>
  <c r="E10" i="2"/>
  <c r="G9" i="2"/>
  <c r="E9" i="2"/>
  <c r="G8" i="2"/>
  <c r="G64" i="2" s="1"/>
  <c r="F5" i="1" s="1"/>
  <c r="E8" i="2"/>
  <c r="F36" i="1"/>
  <c r="E36" i="1"/>
  <c r="E64" i="2" l="1"/>
  <c r="E5" i="1" s="1"/>
  <c r="E19" i="6"/>
  <c r="E9" i="1" s="1"/>
  <c r="E43" i="1" s="1"/>
  <c r="F43" i="1"/>
</calcChain>
</file>

<file path=xl/sharedStrings.xml><?xml version="1.0" encoding="utf-8"?>
<sst xmlns="http://schemas.openxmlformats.org/spreadsheetml/2006/main" count="1448" uniqueCount="578">
  <si>
    <t>PRICE QUOTES MASTER SUMMARY</t>
  </si>
  <si>
    <t>Fanvill Hardware Cabalwan | Tacloban</t>
  </si>
  <si>
    <t>Quote #</t>
  </si>
  <si>
    <t>Date</t>
  </si>
  <si>
    <t>Rep</t>
  </si>
  <si>
    <t>Items Count</t>
  </si>
  <si>
    <t>Total Capital</t>
  </si>
  <si>
    <t>Total Selling Price</t>
  </si>
  <si>
    <t>Sheet Link</t>
  </si>
  <si>
    <t>01</t>
  </si>
  <si>
    <t>9/28/2026</t>
  </si>
  <si>
    <t>AIZA</t>
  </si>
  <si>
    <t>Quote 01</t>
  </si>
  <si>
    <t>02</t>
  </si>
  <si>
    <t>Quote 02</t>
  </si>
  <si>
    <t>03</t>
  </si>
  <si>
    <t>Quote 03</t>
  </si>
  <si>
    <t>04</t>
  </si>
  <si>
    <t>Quote 04</t>
  </si>
  <si>
    <t>05</t>
  </si>
  <si>
    <t>Quote 05</t>
  </si>
  <si>
    <t>06</t>
  </si>
  <si>
    <t>9/30/2026</t>
  </si>
  <si>
    <t>Quote 06</t>
  </si>
  <si>
    <t>07</t>
  </si>
  <si>
    <t>Quote 07</t>
  </si>
  <si>
    <t>08</t>
  </si>
  <si>
    <t>10/1/2026</t>
  </si>
  <si>
    <t>Quote 08</t>
  </si>
  <si>
    <t>09</t>
  </si>
  <si>
    <t>Quote 09</t>
  </si>
  <si>
    <t>10</t>
  </si>
  <si>
    <t>10/2/2026</t>
  </si>
  <si>
    <t>Quote 10</t>
  </si>
  <si>
    <t>11</t>
  </si>
  <si>
    <t>Quote 11</t>
  </si>
  <si>
    <t>12</t>
  </si>
  <si>
    <t>Quote 12</t>
  </si>
  <si>
    <t>13</t>
  </si>
  <si>
    <t>9/29/2026</t>
  </si>
  <si>
    <t>Quote 13</t>
  </si>
  <si>
    <t>14</t>
  </si>
  <si>
    <t>Quote 14</t>
  </si>
  <si>
    <t>15</t>
  </si>
  <si>
    <t>Quote 15</t>
  </si>
  <si>
    <t>16</t>
  </si>
  <si>
    <t>Quote 16</t>
  </si>
  <si>
    <t>17</t>
  </si>
  <si>
    <t>Quote 17</t>
  </si>
  <si>
    <t>18</t>
  </si>
  <si>
    <t>10/6/2026</t>
  </si>
  <si>
    <t>Quote 18</t>
  </si>
  <si>
    <t>19</t>
  </si>
  <si>
    <t>10/12/2026</t>
  </si>
  <si>
    <t>Quote 19</t>
  </si>
  <si>
    <t>20</t>
  </si>
  <si>
    <t>10/7/2026</t>
  </si>
  <si>
    <t>Quote 20</t>
  </si>
  <si>
    <t>21</t>
  </si>
  <si>
    <t>Quote 21</t>
  </si>
  <si>
    <t>22</t>
  </si>
  <si>
    <t>10/5/2026</t>
  </si>
  <si>
    <t>Quote 22</t>
  </si>
  <si>
    <t>23</t>
  </si>
  <si>
    <t>Quote 23</t>
  </si>
  <si>
    <t>24</t>
  </si>
  <si>
    <t>Quote 24</t>
  </si>
  <si>
    <t>25</t>
  </si>
  <si>
    <t>Quote 25</t>
  </si>
  <si>
    <t>26</t>
  </si>
  <si>
    <t>Quote 26</t>
  </si>
  <si>
    <t>27</t>
  </si>
  <si>
    <t>Quote 27</t>
  </si>
  <si>
    <t>28</t>
  </si>
  <si>
    <t>Quote 28</t>
  </si>
  <si>
    <t>29</t>
  </si>
  <si>
    <t>Quote 29</t>
  </si>
  <si>
    <t>30</t>
  </si>
  <si>
    <t>Quote 30</t>
  </si>
  <si>
    <t>31</t>
  </si>
  <si>
    <t>10/15/2026</t>
  </si>
  <si>
    <t>Quote 31</t>
  </si>
  <si>
    <t>32</t>
  </si>
  <si>
    <t>Quote 32</t>
  </si>
  <si>
    <t>33</t>
  </si>
  <si>
    <t>10/16/2026</t>
  </si>
  <si>
    <t>Quote 33</t>
  </si>
  <si>
    <t>34</t>
  </si>
  <si>
    <t>Quote 34</t>
  </si>
  <si>
    <t>35</t>
  </si>
  <si>
    <t>Quote 35</t>
  </si>
  <si>
    <t>36</t>
  </si>
  <si>
    <t>10/17/2026</t>
  </si>
  <si>
    <t>Quote 36</t>
  </si>
  <si>
    <t>37</t>
  </si>
  <si>
    <t>Quote 37</t>
  </si>
  <si>
    <t>38</t>
  </si>
  <si>
    <t>Quote 38</t>
  </si>
  <si>
    <t>Grand Total</t>
  </si>
  <si>
    <t>Fanvill Hardware Cabalwan</t>
  </si>
  <si>
    <t>PRICE QUOTE</t>
  </si>
  <si>
    <t>CABAL-AWAN TACLOBAN</t>
  </si>
  <si>
    <t>Name / Address</t>
  </si>
  <si>
    <t>Project</t>
  </si>
  <si>
    <t>FANVILL CABALAWAN.</t>
  </si>
  <si>
    <t>Qty</t>
  </si>
  <si>
    <t>U/M</t>
  </si>
  <si>
    <t>Item</t>
  </si>
  <si>
    <t>Unit Capital</t>
  </si>
  <si>
    <t>Unit Price</t>
  </si>
  <si>
    <t>C-Purlins 2x4 1.2mm</t>
  </si>
  <si>
    <t>pc</t>
  </si>
  <si>
    <t>GI PIPE S-40 #3/4</t>
  </si>
  <si>
    <t>GI Pipe S-40 3/4 Samurai</t>
  </si>
  <si>
    <t>Plain Bar 16mm</t>
  </si>
  <si>
    <t>I-Bar (6mm)</t>
  </si>
  <si>
    <t>T-Bar</t>
  </si>
  <si>
    <t>6mm x 2-1/2 Angle Bar (BROWN)</t>
  </si>
  <si>
    <t>6mm x 3 Angle Bar (BROWN)</t>
  </si>
  <si>
    <t>Polycarbonate DF Asstd. 4x8x6mm</t>
  </si>
  <si>
    <t>Island Paint QDE Pink (Gal)</t>
  </si>
  <si>
    <t>Island Paint QDE Nile Green (Gl</t>
  </si>
  <si>
    <t>Island Paint QDE Int'l Red(gln)</t>
  </si>
  <si>
    <t>Island Paint QDE Signal Red Gal</t>
  </si>
  <si>
    <t>Island Paint E/Primer Red Ox GL</t>
  </si>
  <si>
    <t>STAR ELASTOMER Red Balm (Gal.)</t>
  </si>
  <si>
    <t>ROOFKOTE BAGUIO GREEN</t>
  </si>
  <si>
    <t>ROOFKOTE NUT BROWN</t>
  </si>
  <si>
    <t>ROOFKOTE CLEAR BLUE</t>
  </si>
  <si>
    <t>Boysen Acrytex Cast (GLn)</t>
  </si>
  <si>
    <t>Clear Gloss Lacquer (GLN)</t>
  </si>
  <si>
    <t>Clear Gloss Lacquer (Bottle)</t>
  </si>
  <si>
    <t>GYPSUM Screw #1-1/2 Wood</t>
  </si>
  <si>
    <t>GYPSUM Screw #1 Wood</t>
  </si>
  <si>
    <t>Pressure Switch (White Box) SD</t>
  </si>
  <si>
    <t>PVC Floor Drain LD</t>
  </si>
  <si>
    <t>Junction Box (Asstd.)</t>
  </si>
  <si>
    <t>Cup Brush (Plain)</t>
  </si>
  <si>
    <t>Cup Brush (Twisted)</t>
  </si>
  <si>
    <t>Stikwel (GLn)</t>
  </si>
  <si>
    <t>Piano Hinges</t>
  </si>
  <si>
    <t>Kitchen Sink (GI) Large</t>
  </si>
  <si>
    <t>Blind Rivets 1/8 x 1/2</t>
  </si>
  <si>
    <t>Blind Rivets 1/8 x 1/4</t>
  </si>
  <si>
    <t>Blind Rivets 1/8 x 7/16</t>
  </si>
  <si>
    <t>Blind Rivets 1/8 x 3/8</t>
  </si>
  <si>
    <t>Blind Rivets 5/32 x 1/4</t>
  </si>
  <si>
    <t>Blind Rivets 3/16 x 3/4</t>
  </si>
  <si>
    <t>Blind Rivets 3/16 X 1</t>
  </si>
  <si>
    <t>Island Paint QDE Pink (ltr)</t>
  </si>
  <si>
    <t>Island Paint QDE BonIvory (ltr)</t>
  </si>
  <si>
    <t>Roller Brush #7 Refill</t>
  </si>
  <si>
    <t>Roller Brush #9 Refill</t>
  </si>
  <si>
    <t>Concealed Hinges AMERILOCK C-1</t>
  </si>
  <si>
    <t>Concealed Hinges AMERILOCK C-2</t>
  </si>
  <si>
    <t>Concealed Hinges AMERILOCK C-3</t>
  </si>
  <si>
    <t>Pitcher Pump Champion</t>
  </si>
  <si>
    <t>TEX SCREW FOR METAL #1</t>
  </si>
  <si>
    <t>Tex Screw for Wood 2-1/2</t>
  </si>
  <si>
    <t>kg</t>
  </si>
  <si>
    <t>Finishing Nails #1</t>
  </si>
  <si>
    <t>Finishing Nails #2-1/2</t>
  </si>
  <si>
    <t>Concrete Nails # 1</t>
  </si>
  <si>
    <t>Concrete Nails # 1-1/2</t>
  </si>
  <si>
    <t>Concrete Nails #2</t>
  </si>
  <si>
    <t>Common Nails # 5</t>
  </si>
  <si>
    <t>LAMCO Duplex Strainer</t>
  </si>
  <si>
    <t>Total</t>
  </si>
  <si>
    <t>Angle Valve LAMCO54035</t>
  </si>
  <si>
    <t>Foot Bolt AMERILOCK S/S</t>
  </si>
  <si>
    <t>HASP Lock Amerilock #4</t>
  </si>
  <si>
    <t>Hasp Lock #4 PH</t>
  </si>
  <si>
    <t>Sink Faucet LAMCO 62234</t>
  </si>
  <si>
    <t>Angle Valve LAMCO54028</t>
  </si>
  <si>
    <t>SALE Shower Head SHARK SF2527</t>
  </si>
  <si>
    <t>Hook &amp; Eye #2-1/2 Jose</t>
  </si>
  <si>
    <t>Hook &amp; Eye #2 Jose</t>
  </si>
  <si>
    <t>Hook &amp; Eye #4 Jose</t>
  </si>
  <si>
    <t>Plumb Bob 200g</t>
  </si>
  <si>
    <t>Plumb Bob 250g</t>
  </si>
  <si>
    <t>Plumb Bob300g</t>
  </si>
  <si>
    <t>Plainer Blade MAKITA</t>
  </si>
  <si>
    <t>Safety Hasp DH 4.5"</t>
  </si>
  <si>
    <t>SALE SinkFaucetSHARKSF2300A/C</t>
  </si>
  <si>
    <t>SALE SinkFaucet SharkSF2310ABS</t>
  </si>
  <si>
    <t>Long Nose Plier #6 DAMNI</t>
  </si>
  <si>
    <t>Tin Snip INGCO #10</t>
  </si>
  <si>
    <t>Diamond C-Disc INGCO Seg. 4"</t>
  </si>
  <si>
    <t>Safety Hasp DH 2"</t>
  </si>
  <si>
    <t>SALE PVC Hose Coupling #1/2 Set</t>
  </si>
  <si>
    <t>PVC Hose Coupling 5/8 Set</t>
  </si>
  <si>
    <t>Barrel Bolt S/S DH 4"</t>
  </si>
  <si>
    <t>Barrel Bolt AIMEE #2 S/S</t>
  </si>
  <si>
    <t>Barrel Bolt S/S DH 2.5"</t>
  </si>
  <si>
    <t>Barrel Bolt S/S DH 2"</t>
  </si>
  <si>
    <t>Lavatory Faucet Shark SF2408</t>
  </si>
  <si>
    <t>Soldering Lead YESTAR set</t>
  </si>
  <si>
    <t>Lock Installation Kit HD</t>
  </si>
  <si>
    <t>LPG Hose 1.5m KEMA</t>
  </si>
  <si>
    <t>PVC WATER JAG Faucet ROSCO 3/8</t>
  </si>
  <si>
    <t>Angle Valve 3-Way PH</t>
  </si>
  <si>
    <t>Barrel Bolt Advance 3</t>
  </si>
  <si>
    <t>Barrel Bolt Advance 2-1/2</t>
  </si>
  <si>
    <t>Barrel Bolt Advance 1 1/2</t>
  </si>
  <si>
    <t>Lav. P-Trap 1-1/2 (Lamco28010)</t>
  </si>
  <si>
    <t>SALE Gooseneck SUNRISE1321/1312</t>
  </si>
  <si>
    <t>Soldering Iron GF 40w</t>
  </si>
  <si>
    <t>Soldering Iron 30W</t>
  </si>
  <si>
    <t>SALE Check Valve #3/4 SW</t>
  </si>
  <si>
    <t>SALE Check Valve #1/2 SW</t>
  </si>
  <si>
    <t>SALE Check Valve #1 SW</t>
  </si>
  <si>
    <t>Combination Wrench #22</t>
  </si>
  <si>
    <t>Combination Wrench #25</t>
  </si>
  <si>
    <t>Combination Wrench #19 THOR</t>
  </si>
  <si>
    <t>Combination Wrench #9</t>
  </si>
  <si>
    <t>LUX QDE Med. Brown</t>
  </si>
  <si>
    <t>LUX QDE Aluminum</t>
  </si>
  <si>
    <t>LUX QDE White</t>
  </si>
  <si>
    <t>LUX QDE Royal Blue</t>
  </si>
  <si>
    <t>LUX QDE V. Red</t>
  </si>
  <si>
    <t>LUX QDE Med. Yellow</t>
  </si>
  <si>
    <t>Boysen OTC Bulitine Red (1/4)</t>
  </si>
  <si>
    <t>Boysen OTC Raw Sienna (1/4)</t>
  </si>
  <si>
    <t>Island OTC Bulletin Red (1/4)</t>
  </si>
  <si>
    <t>Island OTC Raw Sienna (1/4)</t>
  </si>
  <si>
    <t>Island LTC Burnt Sienna (1/4)</t>
  </si>
  <si>
    <t>Hose Clamp #3 1HOLE</t>
  </si>
  <si>
    <t>Hose Clamp #2 1HOLE</t>
  </si>
  <si>
    <t>Hose Clamp #1 1HOLE</t>
  </si>
  <si>
    <t>Hose Clamp #3/4 1HOLE</t>
  </si>
  <si>
    <t>Hose Clamp 3/4 Double Hole</t>
  </si>
  <si>
    <t>Catches Magnetic BIG</t>
  </si>
  <si>
    <t>Catches Magnetic SMALL</t>
  </si>
  <si>
    <t>Catches Roller</t>
  </si>
  <si>
    <t>Hose Clamp #1/2 1HOLE</t>
  </si>
  <si>
    <t>DYNA BOLT 5/16</t>
  </si>
  <si>
    <t>DYNA BOLT 1/4</t>
  </si>
  <si>
    <t>DYNA BOLT 1/2</t>
  </si>
  <si>
    <t>DYNA BOLT 5/8</t>
  </si>
  <si>
    <t>Alligator Clip Small</t>
  </si>
  <si>
    <t>Alligator Clip Big</t>
  </si>
  <si>
    <t>Entrance Cap 3/4</t>
  </si>
  <si>
    <t>Entrance Cap 1/2</t>
  </si>
  <si>
    <t>Plumb Bob 150g SILVER</t>
  </si>
  <si>
    <t>SALE Hose Coupling #1/2 Metal</t>
  </si>
  <si>
    <t>SALE Hose Coupling # 5/8 Metal</t>
  </si>
  <si>
    <t>Pig Drinker Assorted</t>
  </si>
  <si>
    <t>GI Nipple 1x6</t>
  </si>
  <si>
    <t>GI Nipple 1x8</t>
  </si>
  <si>
    <t>GI Nipple 1x10</t>
  </si>
  <si>
    <t>GI Nipple 1x4</t>
  </si>
  <si>
    <t>GI Nipple 1x3</t>
  </si>
  <si>
    <t>GI Nipple 3/4x6</t>
  </si>
  <si>
    <t>GI Nipple 3/4X2</t>
  </si>
  <si>
    <t>GI Nipple 1/2x2</t>
  </si>
  <si>
    <t>GI Nipple 1/2x3</t>
  </si>
  <si>
    <t>GI Nipple 1/2X5</t>
  </si>
  <si>
    <t>GI Nipple 1/2x7</t>
  </si>
  <si>
    <t>GI Nipple 1/2x10</t>
  </si>
  <si>
    <t>GI Nipple 1/2x12</t>
  </si>
  <si>
    <t>Chrome Pipe Bracket 1/2 GOLD</t>
  </si>
  <si>
    <t>Chrome Pipe Bracket 1/2 SILVER</t>
  </si>
  <si>
    <t>Steel Casement Hinges</t>
  </si>
  <si>
    <t>Steel Casement Handle</t>
  </si>
  <si>
    <t>Handsaw YESTAR 20"</t>
  </si>
  <si>
    <t>Compass Saw YESTAR #16</t>
  </si>
  <si>
    <t>Carborandum #8</t>
  </si>
  <si>
    <t>Carburandum #6</t>
  </si>
  <si>
    <t>Doormer 1/2 HD</t>
  </si>
  <si>
    <t>Doormer 7/16 HD</t>
  </si>
  <si>
    <t>Doormer 5/8 HD</t>
  </si>
  <si>
    <t>DEWALT Drillbit 1/2</t>
  </si>
  <si>
    <t>Spool Insulator</t>
  </si>
  <si>
    <t>Screw Insulator(B)</t>
  </si>
  <si>
    <t>Screw Insulator(S)</t>
  </si>
  <si>
    <t>EMT Coupling 1/2</t>
  </si>
  <si>
    <t>EMT Coupling 3/4</t>
  </si>
  <si>
    <t>Wood Chisel # 3/4 China</t>
  </si>
  <si>
    <t>Lavatory Hose 1/2X1/2X12 SUNRIS</t>
  </si>
  <si>
    <t>Lavatory Hose #1/2X1/2X12 SHARK</t>
  </si>
  <si>
    <t>Lavatory Hose #1/2X1/2X12 LAMCO</t>
  </si>
  <si>
    <t>Lavatory Hose #3/8X1/2X12 LAMCO</t>
  </si>
  <si>
    <t>Lavatory Hose #3/8X1/2X14 LAMCO</t>
  </si>
  <si>
    <t>Lavatory Hose #3/8X1/2X18 R/D</t>
  </si>
  <si>
    <t>Cold Chisel Pointed 1/2 MEGA</t>
  </si>
  <si>
    <t>COLD CHISEL Flat</t>
  </si>
  <si>
    <t>Pipe Wrench #8 (Unistar)</t>
  </si>
  <si>
    <t>Wood Chisel # 1 China</t>
  </si>
  <si>
    <t>Wood Chisel #1/2 China</t>
  </si>
  <si>
    <t>Door Spring #4</t>
  </si>
  <si>
    <t>Door Spring #5</t>
  </si>
  <si>
    <t>Door Spring #6</t>
  </si>
  <si>
    <t>PE Male Adaptor 1/2</t>
  </si>
  <si>
    <t>PE Elbow 3/4</t>
  </si>
  <si>
    <t>PE Coupling 3/4</t>
  </si>
  <si>
    <t>PE Male Adaptor 3/4</t>
  </si>
  <si>
    <t>SALE PNS Long Elbow 1</t>
  </si>
  <si>
    <t>SALE PNS Short Elbow 3/4</t>
  </si>
  <si>
    <t>PNS Coupling 3/4</t>
  </si>
  <si>
    <t>PNS Short Elbow 1/2</t>
  </si>
  <si>
    <t>PNS Long Elbow 1/2</t>
  </si>
  <si>
    <t>PNS Coupling 1/2</t>
  </si>
  <si>
    <t>PE Tee 3/4</t>
  </si>
  <si>
    <t>PE Elbow 1</t>
  </si>
  <si>
    <t>PNS Male Adaptor1/2</t>
  </si>
  <si>
    <t>Poly Connector 3/4</t>
  </si>
  <si>
    <t>Poly Connector 1/2</t>
  </si>
  <si>
    <t>PE Coupling Red. 3/4x1/2</t>
  </si>
  <si>
    <t>PE Female Adaptor 1/2</t>
  </si>
  <si>
    <t>PE Elbow 1/2</t>
  </si>
  <si>
    <t>PE Coupling 1/2</t>
  </si>
  <si>
    <t>PE Female Adaptor 3/4</t>
  </si>
  <si>
    <t>PE Tee 1/2</t>
  </si>
  <si>
    <t>PVC Blue Coupling #1 1/4</t>
  </si>
  <si>
    <t>PVC Blue Tee #1-1/4 P</t>
  </si>
  <si>
    <t>PVC Blue Male Adaptor #1-1/4</t>
  </si>
  <si>
    <t>PVC Blue Female Adaptor #1-1/4</t>
  </si>
  <si>
    <t>PVC Blue Union #1-1/4</t>
  </si>
  <si>
    <t>PE Coupling 1</t>
  </si>
  <si>
    <t>PVC Blue Elbow #1-1/2 P</t>
  </si>
  <si>
    <t>PVC Blue Female Adaptor #1-1/2</t>
  </si>
  <si>
    <t>PVC Blue Male Adaptor #1-1/2</t>
  </si>
  <si>
    <t>PVC Blue Coupling #1 1/2</t>
  </si>
  <si>
    <t>PVC Blue Tee #2 P</t>
  </si>
  <si>
    <t>PVC Blue Female Adaptor #2</t>
  </si>
  <si>
    <t>PVC Blue Male Adaptor #2</t>
  </si>
  <si>
    <t>Pylox Lazer #605 F-Green</t>
  </si>
  <si>
    <t>Pylox Lazer #705 Gold</t>
  </si>
  <si>
    <t>Pylox Lazer #706 Flash Gold</t>
  </si>
  <si>
    <t>Pylox Lazer #601 F-Orange</t>
  </si>
  <si>
    <t>Pylox Lazer #710 Solid Gold</t>
  </si>
  <si>
    <t>Pylox Lazer #01 Clear</t>
  </si>
  <si>
    <t>Bosny Polyurethane #1900</t>
  </si>
  <si>
    <t>Bosny Undercoat Rubberized B104</t>
  </si>
  <si>
    <t>ECOLINK Led 13w DL</t>
  </si>
  <si>
    <t>ECOLINK Led 11w DL</t>
  </si>
  <si>
    <t>ECOLINK Led 9w DL</t>
  </si>
  <si>
    <t>ECOLINK Led 7w DL</t>
  </si>
  <si>
    <t>ECOLINK Led 3w DL</t>
  </si>
  <si>
    <t>PHILIPS LED BULB 13W</t>
  </si>
  <si>
    <t>PHILIPS LED BULB 11W</t>
  </si>
  <si>
    <t>PHILIPS LED BULB 9W</t>
  </si>
  <si>
    <t>PHILIPS LED BULB 7W</t>
  </si>
  <si>
    <t>PHILIPS LED BULB 3W</t>
  </si>
  <si>
    <t>KANTT Led Bulb 11W</t>
  </si>
  <si>
    <t>KANTT Led Bulb 7w</t>
  </si>
  <si>
    <t>FSL Led Bulb 3W DL</t>
  </si>
  <si>
    <t>FSL Led Bulb 3W WW</t>
  </si>
  <si>
    <t>F/Fly Bulb 3U 23W</t>
  </si>
  <si>
    <t>SALE F/Fly Emergency Bulb 12wDL</t>
  </si>
  <si>
    <t>SALE F/Fly Emergency Bulb 8w DL</t>
  </si>
  <si>
    <t>Electrode Holder 500A JacksonLD</t>
  </si>
  <si>
    <t>Cup Brush PH #350 TWISTED</t>
  </si>
  <si>
    <t>PVC Foot Valve #1T</t>
  </si>
  <si>
    <t>SALE Foot Valve #3/4 SW</t>
  </si>
  <si>
    <t>SALE Foot Valve SHARK 3/4</t>
  </si>
  <si>
    <t>Foot Valve SHARK 1/2</t>
  </si>
  <si>
    <t>Check Valve 1-1/4 Clayton</t>
  </si>
  <si>
    <t>America Fuse 60A</t>
  </si>
  <si>
    <t>America Fuse 15A</t>
  </si>
  <si>
    <t>FOCUS Outlet 4 gang</t>
  </si>
  <si>
    <t>FOCUS Outlet 2 Gang</t>
  </si>
  <si>
    <t>ANAM/Legrand OUTLET 3G 3213</t>
  </si>
  <si>
    <t>Splitter 3-way</t>
  </si>
  <si>
    <t>Splitter 2-Way</t>
  </si>
  <si>
    <t>Lacquer Flo (Btl)</t>
  </si>
  <si>
    <t>Paint Thinner LUX (Btl)</t>
  </si>
  <si>
    <t>NIPPON Varnish (Ltr)</t>
  </si>
  <si>
    <t>Timberguard Brown (Ltr)</t>
  </si>
  <si>
    <t>Timberguard Clear (Ltr)</t>
  </si>
  <si>
    <t>PVC Blue Male Adaptor #1/2</t>
  </si>
  <si>
    <t>PVC Blue Male Adaptor #3/4</t>
  </si>
  <si>
    <t>PVC Blue Male Adaptor #1</t>
  </si>
  <si>
    <t>PVC Blue Female Adaptor #1/2</t>
  </si>
  <si>
    <t>PVC Blue Female Adaptor #3/4</t>
  </si>
  <si>
    <t>PVC Blue Female Adaptor #1</t>
  </si>
  <si>
    <t>PVC Blue Elbow #1/2 T</t>
  </si>
  <si>
    <t>PVC Blue Elbow #3/4 T</t>
  </si>
  <si>
    <t>PVC Blue Elbow #1 T</t>
  </si>
  <si>
    <t>PVC Blue Tee #1/2 T</t>
  </si>
  <si>
    <t>PVC Blue Elbow #1 P</t>
  </si>
  <si>
    <t>PVC Blue Elbow #1/2 P</t>
  </si>
  <si>
    <t>PVC Blue Union #1</t>
  </si>
  <si>
    <t>PVC Blue Union #3/4</t>
  </si>
  <si>
    <t>PVC Blue Coupling #1</t>
  </si>
  <si>
    <t>PVC Blue Coupling 3/4</t>
  </si>
  <si>
    <t>PVC Blue Coupling Red. 1x3/4</t>
  </si>
  <si>
    <t>PVC Blue Union #1/2</t>
  </si>
  <si>
    <t>Round to Flat adaptor Asstd.</t>
  </si>
  <si>
    <t>SALE PVC Receptacles #2-1/4</t>
  </si>
  <si>
    <t>Universal Adaptor w/ G &amp; S EVLA</t>
  </si>
  <si>
    <t>Female Socket</t>
  </si>
  <si>
    <t>PPR PVC Brass Ball Valve #1</t>
  </si>
  <si>
    <t>PPR PVC Brass Ball Valve 3/4</t>
  </si>
  <si>
    <t>PPR PVC Brass Ball Valve 1/2</t>
  </si>
  <si>
    <t>PPR PVC Ball Valve 1/2</t>
  </si>
  <si>
    <t>PPR PVC Ball Valve #3/4</t>
  </si>
  <si>
    <t>YESTAR Grinding Disc</t>
  </si>
  <si>
    <t>Blank Plate ROYU</t>
  </si>
  <si>
    <t>SALE Rubber Socket B1T1</t>
  </si>
  <si>
    <t>SALE PULL CHAIN SOCKET B1T1</t>
  </si>
  <si>
    <t>SALE Trowel Cement # 7</t>
  </si>
  <si>
    <t>Trowel Cement # 5</t>
  </si>
  <si>
    <t>TEX SCREW FOR WOOD #2</t>
  </si>
  <si>
    <t>Cylindrical Hinges 5/8</t>
  </si>
  <si>
    <t>Cylindrical Hinges 3/8</t>
  </si>
  <si>
    <t>Sandpaper #80</t>
  </si>
  <si>
    <t>Sandpaper #150</t>
  </si>
  <si>
    <t>Sandpaper #180</t>
  </si>
  <si>
    <t>Sandpaper #220</t>
  </si>
  <si>
    <t>Sandpaper #1500</t>
  </si>
  <si>
    <t>Sandpaper # 240</t>
  </si>
  <si>
    <t>Sandpaper # 600</t>
  </si>
  <si>
    <t>Sandpaper # 280</t>
  </si>
  <si>
    <t>Sandpaper #120</t>
  </si>
  <si>
    <t>Sandpaper #400</t>
  </si>
  <si>
    <t>Sandpaper #1000</t>
  </si>
  <si>
    <t>Sandpaper #60</t>
  </si>
  <si>
    <t>SALE PPR Gate Valve 1</t>
  </si>
  <si>
    <t>PPR Female Adaptor 1/2</t>
  </si>
  <si>
    <t>Gate Valve 1/2</t>
  </si>
  <si>
    <t>SALE PPR Gate Valve 3/4</t>
  </si>
  <si>
    <t>GI Faucet JOSE HB 9155</t>
  </si>
  <si>
    <t>Lavatory X-Faucet (MAXTEN)</t>
  </si>
  <si>
    <t>SALE GI Faucet PricePfister P/B</t>
  </si>
  <si>
    <t>GI Faucet USA P/B;H/B</t>
  </si>
  <si>
    <t>GI Faucet SHARK SF2624 P/B</t>
  </si>
  <si>
    <t>GI Faucet GV P/B</t>
  </si>
  <si>
    <t>2-Way Faucet FLEXCO FC9007</t>
  </si>
  <si>
    <t>Lockable Bibbcock Faucet SF2631</t>
  </si>
  <si>
    <t>GI Faucet LAMCO 12334 PLAIN BIB</t>
  </si>
  <si>
    <t>PVC Faucet T-Handle PH</t>
  </si>
  <si>
    <t>Swing Valve SHARK #1/2</t>
  </si>
  <si>
    <t>Ball Valve w/ Lock #1/2 SW</t>
  </si>
  <si>
    <t>LPG Hose Clamp</t>
  </si>
  <si>
    <t>Angle Valve WATTS 1/2x1/2</t>
  </si>
  <si>
    <t>HACKSAW BLADE 18T LENOX Dual</t>
  </si>
  <si>
    <t>HACKSAW BLADE 24T LENOX</t>
  </si>
  <si>
    <t>Sandflex Blade #24T</t>
  </si>
  <si>
    <t>2-Way Faucet Sunrise S-1102</t>
  </si>
  <si>
    <t>FLAP DISK 4" #120</t>
  </si>
  <si>
    <t>FLAP DISK 4" #36</t>
  </si>
  <si>
    <t>FLAP DISK 4" #100</t>
  </si>
  <si>
    <t>PPR Male Elbow #1</t>
  </si>
  <si>
    <t>PPR Male Elbow 3/4</t>
  </si>
  <si>
    <t>PPR Male Tee 3/4</t>
  </si>
  <si>
    <t>PPR Coupling #1</t>
  </si>
  <si>
    <t>PPR Female Elbow #1</t>
  </si>
  <si>
    <t>PPR Female Tee 1/2</t>
  </si>
  <si>
    <t>PPR Female Elbow 3/4</t>
  </si>
  <si>
    <t>PPR Coupling 3/4</t>
  </si>
  <si>
    <t>PPR Elbow 3/4x45</t>
  </si>
  <si>
    <t>PPR Tee 3/4</t>
  </si>
  <si>
    <t>PPR Coupling Red. 1x3/4</t>
  </si>
  <si>
    <t>PPR Coupling Red. 3/4x1/2</t>
  </si>
  <si>
    <t>PPR Male Union #1</t>
  </si>
  <si>
    <t>PPR Female Adaptor #1</t>
  </si>
  <si>
    <t>PVC Blue Plug #1</t>
  </si>
  <si>
    <t>PVC Blue Plug #3/4</t>
  </si>
  <si>
    <t>PVC Blue Plug #1/2</t>
  </si>
  <si>
    <t>PVC Blue End Cap #3/4</t>
  </si>
  <si>
    <t>PVC Blue End Cap #1/2</t>
  </si>
  <si>
    <t>PVC Blue Tee #1 P</t>
  </si>
  <si>
    <t>PVC Blue Tee #3/4 P</t>
  </si>
  <si>
    <t>PVC Blue Tee #1/2 P</t>
  </si>
  <si>
    <t>Utility Box (Asstd.)</t>
  </si>
  <si>
    <t>PPR Female Tee Red. 3/4x1/2</t>
  </si>
  <si>
    <t>PPR Tee Red. 3/4x1/2</t>
  </si>
  <si>
    <t>PPR Female Elbow Red. 3/4x1/2</t>
  </si>
  <si>
    <t>PPR Male Elbow Red. 3/4X1/2</t>
  </si>
  <si>
    <t>PPR Tee Red. 1x1/2</t>
  </si>
  <si>
    <t>PPR FTA Red. 3/4x1/2</t>
  </si>
  <si>
    <t>PPR MTA Red. 3/4x1/2</t>
  </si>
  <si>
    <t>PPR Tee Red. 1x3/4</t>
  </si>
  <si>
    <t>PPR Elbow 1/2x45</t>
  </si>
  <si>
    <t>PPR Plug #1</t>
  </si>
  <si>
    <t>PPR Plug 3/4</t>
  </si>
  <si>
    <t>PPR Plug 1/2</t>
  </si>
  <si>
    <t>PPR Female Union 1/2</t>
  </si>
  <si>
    <t>PPR Female Union 3/4</t>
  </si>
  <si>
    <t>PPR Female Union #1</t>
  </si>
  <si>
    <t>PPR PVC Union #1</t>
  </si>
  <si>
    <t>PPR PVC Union 3/4</t>
  </si>
  <si>
    <t>PPR PVC Union 1/2</t>
  </si>
  <si>
    <t>PPR Male Elbow 1/2</t>
  </si>
  <si>
    <t>PPR Elbow 1x45</t>
  </si>
  <si>
    <t>PPR Elbow 1X90</t>
  </si>
  <si>
    <t>PPR Tee #1</t>
  </si>
  <si>
    <t>PPR End Cap #1</t>
  </si>
  <si>
    <t>PPR End Cap 3/4</t>
  </si>
  <si>
    <t>PPR End Cap 1/2</t>
  </si>
  <si>
    <t>PPR Male Adaptor 1/2</t>
  </si>
  <si>
    <t>PPR Male Adaptor #1</t>
  </si>
  <si>
    <t>SALE Gooseneck SUNRISE 1206</t>
  </si>
  <si>
    <t>SALE Gooseneck S-1332 Sunrise</t>
  </si>
  <si>
    <t>Sink Faucet SHARKSF2300C 1/2X2</t>
  </si>
  <si>
    <t>SALE Shower Valve SHARK SF2540</t>
  </si>
  <si>
    <t>SALE Shower Head (OHAYO)</t>
  </si>
  <si>
    <t>SALE Check Valve SHARK 1/2</t>
  </si>
  <si>
    <t>SALE Check Valve SHARK 3/4</t>
  </si>
  <si>
    <t>SALE Check Valve SHARK #1</t>
  </si>
  <si>
    <t>SALE Tel. Shower ROSCO #810HB</t>
  </si>
  <si>
    <t>Telephone Shower FLEXCO</t>
  </si>
  <si>
    <t>SALE Tel. Shower ROSCO #809PW</t>
  </si>
  <si>
    <t>SALE PVC GooseneckFaucetLAMCO</t>
  </si>
  <si>
    <t>SALE Circuit Breaker 40A (Royu)</t>
  </si>
  <si>
    <t>SALE SafetyBreakerw/ outlet 15A</t>
  </si>
  <si>
    <t>SALE PVCReceptacle#3-1/2(F/Fly)</t>
  </si>
  <si>
    <t>GI Union 1/2 HD</t>
  </si>
  <si>
    <t>GI Union 3/4 HD</t>
  </si>
  <si>
    <t>GI Union 1 HD</t>
  </si>
  <si>
    <t>GI Coupling 1/2 LD</t>
  </si>
  <si>
    <t>Gi Coupling 3/4 HD</t>
  </si>
  <si>
    <t>Gi Coupling 3/4 LD</t>
  </si>
  <si>
    <t>GI Coupling 1 HD</t>
  </si>
  <si>
    <t>GI Tee # 1/2 LD</t>
  </si>
  <si>
    <t>GI Tee 1/2 HD</t>
  </si>
  <si>
    <t>GI Tee 3/4 HD</t>
  </si>
  <si>
    <t>GI Elbow 3/4 HD</t>
  </si>
  <si>
    <t>GI Elbow 3/4 LD</t>
  </si>
  <si>
    <t>GI Elbow #1 HD</t>
  </si>
  <si>
    <t>GI Bushing Reducer 3/4 X 1/2</t>
  </si>
  <si>
    <t>GI Bushing Reducer 1 X 1/2</t>
  </si>
  <si>
    <t>GI Bushing Reducer 1-1/4 x 3/4</t>
  </si>
  <si>
    <t>GI Bushing Reducer 1-1/4 x 1</t>
  </si>
  <si>
    <t>GI Elbow Red. 3/4x1/2</t>
  </si>
  <si>
    <t>GI Coupling Red. 1 x 1/2</t>
  </si>
  <si>
    <t>GI Straight Elbow #3/4</t>
  </si>
  <si>
    <t>PPR Coupling 1/2</t>
  </si>
  <si>
    <t>PPR Female Elbow 1/2</t>
  </si>
  <si>
    <t>GI Plug 1/2</t>
  </si>
  <si>
    <t>GI Plug 3/4</t>
  </si>
  <si>
    <t>GI Straight Elbow #1/2</t>
  </si>
  <si>
    <t>GI Cap 1/2</t>
  </si>
  <si>
    <t>GI CAP 3/4</t>
  </si>
  <si>
    <t>GI Cap 1</t>
  </si>
  <si>
    <t>Ball Valve 1/2 LAMCO</t>
  </si>
  <si>
    <t>SALE Ball Valve 3/4 LAMCO</t>
  </si>
  <si>
    <t>Ball Valve # 1 Lamco</t>
  </si>
  <si>
    <t>SALE GateValve 1/2 SHARK SF2915</t>
  </si>
  <si>
    <t>Gate Valve 3/4 SHARK</t>
  </si>
  <si>
    <t>SALE Gate Valve #1 SHARK SF2917</t>
  </si>
  <si>
    <t>SALE Foot Valve #1/2 SW</t>
  </si>
  <si>
    <t>SALE Foot Valve 1/2 Clayton</t>
  </si>
  <si>
    <t>SALE Foot Valve SHARK #1</t>
  </si>
  <si>
    <t>Hasp Lock #3 PH</t>
  </si>
  <si>
    <t>Shower Head LD/CHROME</t>
  </si>
  <si>
    <t>Blind Rivets 3/16 x 5/8</t>
  </si>
  <si>
    <t>Blind Rivets 3/16 x 3/8</t>
  </si>
  <si>
    <t>Blind Rivets 5/32 x 1/2</t>
  </si>
  <si>
    <t>Blind Rivets 1/8 X 1</t>
  </si>
  <si>
    <t>Blind Rivets 3/16 x 1/2</t>
  </si>
  <si>
    <t>Blind Rivets 5/32 x 3/8</t>
  </si>
  <si>
    <t>Blind Rivets 5/32 x 7/16</t>
  </si>
  <si>
    <t>PVC Blue Elbow #3/4 P</t>
  </si>
  <si>
    <t>PVC Blue Tee #1 T</t>
  </si>
  <si>
    <t>SALE PNS Long Elbow 3/4</t>
  </si>
  <si>
    <t>SALE Square Box (PVC)</t>
  </si>
  <si>
    <t>Staple Wire #1/2 (box)</t>
  </si>
  <si>
    <t>SALE Hose Coupling #3/4 Metal</t>
  </si>
  <si>
    <t>Flapper Ball Orange SW</t>
  </si>
  <si>
    <t>Circuit Breaker 40A (R) Bolt-on</t>
  </si>
  <si>
    <t>IRWIN MASONRY 1/8 HD</t>
  </si>
  <si>
    <t>IRWIN MASONRY 5/32 HD</t>
  </si>
  <si>
    <t>IRWIN MASONRY 3/8 HD</t>
  </si>
  <si>
    <t>Circuit Breaker 15A (Royu)</t>
  </si>
  <si>
    <t>SALE BallValve #3/4 SHARK</t>
  </si>
  <si>
    <t>Foot Valve #1-1/4 SW</t>
  </si>
  <si>
    <t>Swing Valve SHARK #1</t>
  </si>
  <si>
    <t>Sink Faucet S/S 304 PH</t>
  </si>
  <si>
    <t>LAMCO Flush Type Push Valve</t>
  </si>
  <si>
    <t>Ball Valve #3/4 (KITZ)</t>
  </si>
  <si>
    <t>Ball Valve #1 (KITZ)</t>
  </si>
  <si>
    <t>Swing Valve WB #1</t>
  </si>
  <si>
    <t>Swing Valve WB #1/2</t>
  </si>
  <si>
    <t>Gate Valve #1 (KITZ)</t>
  </si>
  <si>
    <t>SALE Teflon #1 Asstd.</t>
  </si>
  <si>
    <t>SALE Mesh Tape Tolsen/Sunrise#2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</si>
</sst>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497D"/>
      <name val="Calibri"/>
    </font>
    <font>
      <i/>
      <sz val="10"/>
      <name val="Calibri"/>
    </font>
    <font>
      <b/>
      <sz val="14"/>
      <color rgb="FF1F497D"/>
      <name val="Calibri"/>
    </font>
    <font>
      <b/>
      <sz val="9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1"/>
      <name val="Calibri"/>
    </font>
    <font>
      <u/>
      <sz val="10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333F48"/>
        <bgColor rgb="FF333F4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4" fontId="7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0" fillId="0" borderId="0" xfId="0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opLeftCell="A5" workbookViewId="0">
      <selection activeCell="G9" sqref="G9"/>
    </sheetView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8" customWidth="1"/>
    <col min="6" max="6" width="22" customWidth="1"/>
    <col min="7" max="7" width="16" customWidth="1"/>
  </cols>
  <sheetData>
    <row r="1" spans="1:7" ht="17.25" x14ac:dyDescent="0.3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</row>
    <row r="5" spans="1:7" x14ac:dyDescent="0.25">
      <c r="A5" s="6" t="s">
        <v>9</v>
      </c>
      <c r="B5" s="6" t="s">
        <v>10</v>
      </c>
      <c r="C5" s="6" t="s">
        <v>11</v>
      </c>
      <c r="D5" s="7">
        <v>56</v>
      </c>
      <c r="E5" s="8">
        <f>'Quote 01'!E64</f>
        <v>0</v>
      </c>
      <c r="F5" s="8">
        <f>'Quote 01'!G64</f>
        <v>398960</v>
      </c>
      <c r="G5" s="9" t="s">
        <v>12</v>
      </c>
    </row>
    <row r="6" spans="1:7" x14ac:dyDescent="0.25">
      <c r="A6" s="6" t="s">
        <v>13</v>
      </c>
      <c r="B6" s="6" t="s">
        <v>10</v>
      </c>
      <c r="C6" s="6" t="s">
        <v>11</v>
      </c>
      <c r="D6" s="7">
        <v>27</v>
      </c>
      <c r="E6" s="8">
        <f>'Quote 02'!E35</f>
        <v>0</v>
      </c>
      <c r="F6" s="8">
        <f>'Quote 02'!G35</f>
        <v>17590</v>
      </c>
      <c r="G6" s="9" t="s">
        <v>14</v>
      </c>
    </row>
    <row r="7" spans="1:7" x14ac:dyDescent="0.25">
      <c r="A7" s="6" t="s">
        <v>15</v>
      </c>
      <c r="B7" s="6" t="s">
        <v>10</v>
      </c>
      <c r="C7" s="6" t="s">
        <v>11</v>
      </c>
      <c r="D7" s="7">
        <v>9</v>
      </c>
      <c r="E7" s="8">
        <f>'Quote 03'!E17</f>
        <v>0</v>
      </c>
      <c r="F7" s="8">
        <f>'Quote 03'!G17</f>
        <v>6570</v>
      </c>
      <c r="G7" s="9" t="s">
        <v>16</v>
      </c>
    </row>
    <row r="8" spans="1:7" x14ac:dyDescent="0.25">
      <c r="A8" s="6" t="s">
        <v>17</v>
      </c>
      <c r="B8" s="6" t="s">
        <v>10</v>
      </c>
      <c r="C8" s="6" t="s">
        <v>11</v>
      </c>
      <c r="D8" s="7">
        <v>11</v>
      </c>
      <c r="E8" s="8">
        <f>'Quote 04'!E19</f>
        <v>0</v>
      </c>
      <c r="F8" s="8">
        <f>'Quote 04'!G19</f>
        <v>12375</v>
      </c>
      <c r="G8" s="9" t="s">
        <v>18</v>
      </c>
    </row>
    <row r="9" spans="1:7" x14ac:dyDescent="0.25">
      <c r="A9" s="6" t="s">
        <v>19</v>
      </c>
      <c r="B9" s="6" t="s">
        <v>10</v>
      </c>
      <c r="C9" s="6" t="s">
        <v>11</v>
      </c>
      <c r="D9" s="7">
        <v>11</v>
      </c>
      <c r="E9" s="8">
        <f>'Quote 05'!E19</f>
        <v>0</v>
      </c>
      <c r="F9" s="8">
        <f>'Quote 05'!G19</f>
        <v>2590</v>
      </c>
      <c r="G9" s="9" t="s">
        <v>20</v>
      </c>
    </row>
    <row r="10" spans="1:7" x14ac:dyDescent="0.25">
      <c r="A10" s="6" t="s">
        <v>21</v>
      </c>
      <c r="B10" s="6" t="s">
        <v>22</v>
      </c>
      <c r="C10" s="6" t="s">
        <v>11</v>
      </c>
      <c r="D10" s="7">
        <v>15</v>
      </c>
      <c r="E10" s="8">
        <f>'Quote 06'!E23</f>
        <v>0</v>
      </c>
      <c r="F10" s="8">
        <f>'Quote 06'!G23</f>
        <v>16310</v>
      </c>
      <c r="G10" s="9" t="s">
        <v>23</v>
      </c>
    </row>
    <row r="11" spans="1:7" x14ac:dyDescent="0.25">
      <c r="A11" s="6" t="s">
        <v>24</v>
      </c>
      <c r="B11" s="6" t="s">
        <v>22</v>
      </c>
      <c r="C11" s="6" t="s">
        <v>11</v>
      </c>
      <c r="D11" s="7">
        <v>25</v>
      </c>
      <c r="E11" s="8">
        <f>'Quote 07'!E33</f>
        <v>0</v>
      </c>
      <c r="F11" s="8">
        <f>'Quote 07'!G33</f>
        <v>23946</v>
      </c>
      <c r="G11" s="9" t="s">
        <v>25</v>
      </c>
    </row>
    <row r="12" spans="1:7" x14ac:dyDescent="0.25">
      <c r="A12" s="6" t="s">
        <v>26</v>
      </c>
      <c r="B12" s="6" t="s">
        <v>27</v>
      </c>
      <c r="C12" s="6" t="s">
        <v>11</v>
      </c>
      <c r="D12" s="7">
        <v>4</v>
      </c>
      <c r="E12" s="8">
        <f>'Quote 08'!E12</f>
        <v>0</v>
      </c>
      <c r="F12" s="8">
        <f>'Quote 08'!G12</f>
        <v>5690</v>
      </c>
      <c r="G12" s="9" t="s">
        <v>28</v>
      </c>
    </row>
    <row r="13" spans="1:7" x14ac:dyDescent="0.25">
      <c r="A13" s="6" t="s">
        <v>29</v>
      </c>
      <c r="B13" s="6" t="s">
        <v>27</v>
      </c>
      <c r="C13" s="6" t="s">
        <v>11</v>
      </c>
      <c r="D13" s="7">
        <v>25</v>
      </c>
      <c r="E13" s="8">
        <f>'Quote 09'!E33</f>
        <v>0</v>
      </c>
      <c r="F13" s="8">
        <f>'Quote 09'!G33</f>
        <v>35500</v>
      </c>
      <c r="G13" s="9" t="s">
        <v>30</v>
      </c>
    </row>
    <row r="14" spans="1:7" x14ac:dyDescent="0.25">
      <c r="A14" s="6" t="s">
        <v>31</v>
      </c>
      <c r="B14" s="6" t="s">
        <v>32</v>
      </c>
      <c r="C14" s="6" t="s">
        <v>11</v>
      </c>
      <c r="D14" s="7">
        <v>16</v>
      </c>
      <c r="E14" s="8">
        <f>'Quote 10'!E24</f>
        <v>0</v>
      </c>
      <c r="F14" s="8">
        <f>'Quote 10'!G24</f>
        <v>5229</v>
      </c>
      <c r="G14" s="9" t="s">
        <v>33</v>
      </c>
    </row>
    <row r="15" spans="1:7" x14ac:dyDescent="0.25">
      <c r="A15" s="6" t="s">
        <v>34</v>
      </c>
      <c r="B15" s="6" t="s">
        <v>32</v>
      </c>
      <c r="C15" s="6" t="s">
        <v>11</v>
      </c>
      <c r="D15" s="7">
        <v>19</v>
      </c>
      <c r="E15" s="8">
        <f>'Quote 11'!E27</f>
        <v>0</v>
      </c>
      <c r="F15" s="8">
        <f>'Quote 11'!G27</f>
        <v>9530</v>
      </c>
      <c r="G15" s="9" t="s">
        <v>35</v>
      </c>
    </row>
    <row r="16" spans="1:7" x14ac:dyDescent="0.25">
      <c r="A16" s="6" t="s">
        <v>36</v>
      </c>
      <c r="B16" s="6" t="s">
        <v>10</v>
      </c>
      <c r="C16" s="6" t="s">
        <v>11</v>
      </c>
      <c r="D16" s="7">
        <v>8</v>
      </c>
      <c r="E16" s="8">
        <f>'Quote 12'!E16</f>
        <v>0</v>
      </c>
      <c r="F16" s="8">
        <f>'Quote 12'!G16</f>
        <v>8485</v>
      </c>
      <c r="G16" s="9" t="s">
        <v>37</v>
      </c>
    </row>
    <row r="17" spans="1:7" x14ac:dyDescent="0.25">
      <c r="A17" s="6" t="s">
        <v>38</v>
      </c>
      <c r="B17" s="6" t="s">
        <v>39</v>
      </c>
      <c r="C17" s="6" t="s">
        <v>11</v>
      </c>
      <c r="D17" s="7">
        <v>12</v>
      </c>
      <c r="E17" s="8">
        <f>'Quote 13'!E20</f>
        <v>0</v>
      </c>
      <c r="F17" s="8">
        <f>'Quote 13'!G20</f>
        <v>8701.9</v>
      </c>
      <c r="G17" s="9" t="s">
        <v>40</v>
      </c>
    </row>
    <row r="18" spans="1:7" x14ac:dyDescent="0.25">
      <c r="A18" s="6" t="s">
        <v>41</v>
      </c>
      <c r="B18" s="6" t="s">
        <v>39</v>
      </c>
      <c r="C18" s="6" t="s">
        <v>11</v>
      </c>
      <c r="D18" s="7">
        <v>5</v>
      </c>
      <c r="E18" s="8">
        <f>'Quote 14'!E13</f>
        <v>0</v>
      </c>
      <c r="F18" s="8">
        <f>'Quote 14'!G13</f>
        <v>17985</v>
      </c>
      <c r="G18" s="9" t="s">
        <v>42</v>
      </c>
    </row>
    <row r="19" spans="1:7" x14ac:dyDescent="0.25">
      <c r="A19" s="6" t="s">
        <v>43</v>
      </c>
      <c r="B19" s="6" t="s">
        <v>27</v>
      </c>
      <c r="C19" s="6" t="s">
        <v>11</v>
      </c>
      <c r="D19" s="7">
        <v>17</v>
      </c>
      <c r="E19" s="8">
        <f>'Quote 15'!E25</f>
        <v>0</v>
      </c>
      <c r="F19" s="8">
        <f>'Quote 15'!G25</f>
        <v>10247</v>
      </c>
      <c r="G19" s="9" t="s">
        <v>44</v>
      </c>
    </row>
    <row r="20" spans="1:7" x14ac:dyDescent="0.25">
      <c r="A20" s="6" t="s">
        <v>45</v>
      </c>
      <c r="B20" s="6" t="s">
        <v>32</v>
      </c>
      <c r="C20" s="6" t="s">
        <v>11</v>
      </c>
      <c r="D20" s="7">
        <v>6</v>
      </c>
      <c r="E20" s="8">
        <f>'Quote 16'!E14</f>
        <v>0</v>
      </c>
      <c r="F20" s="8">
        <f>'Quote 16'!G14</f>
        <v>3920</v>
      </c>
      <c r="G20" s="9" t="s">
        <v>46</v>
      </c>
    </row>
    <row r="21" spans="1:7" x14ac:dyDescent="0.25">
      <c r="A21" s="6" t="s">
        <v>47</v>
      </c>
      <c r="B21" s="6" t="s">
        <v>32</v>
      </c>
      <c r="C21" s="6" t="s">
        <v>11</v>
      </c>
      <c r="D21" s="7">
        <v>22</v>
      </c>
      <c r="E21" s="8">
        <f>'Quote 17'!E30</f>
        <v>0</v>
      </c>
      <c r="F21" s="8">
        <f>'Quote 17'!G30</f>
        <v>8542.5</v>
      </c>
      <c r="G21" s="9" t="s">
        <v>48</v>
      </c>
    </row>
    <row r="22" spans="1:7" x14ac:dyDescent="0.25">
      <c r="A22" s="6" t="s">
        <v>49</v>
      </c>
      <c r="B22" s="6" t="s">
        <v>50</v>
      </c>
      <c r="C22" s="6" t="s">
        <v>11</v>
      </c>
      <c r="D22" s="7">
        <v>16</v>
      </c>
      <c r="E22" s="8">
        <f>'Quote 18'!E24</f>
        <v>0</v>
      </c>
      <c r="F22" s="8">
        <f>'Quote 18'!G24</f>
        <v>16106</v>
      </c>
      <c r="G22" s="9" t="s">
        <v>51</v>
      </c>
    </row>
    <row r="23" spans="1:7" x14ac:dyDescent="0.25">
      <c r="A23" s="6" t="s">
        <v>52</v>
      </c>
      <c r="B23" s="6" t="s">
        <v>53</v>
      </c>
      <c r="C23" s="6" t="s">
        <v>11</v>
      </c>
      <c r="D23" s="7">
        <v>12</v>
      </c>
      <c r="E23" s="8">
        <f>'Quote 19'!E20</f>
        <v>0</v>
      </c>
      <c r="F23" s="8">
        <f>'Quote 19'!G20</f>
        <v>16760</v>
      </c>
      <c r="G23" s="9" t="s">
        <v>54</v>
      </c>
    </row>
    <row r="24" spans="1:7" x14ac:dyDescent="0.25">
      <c r="A24" s="6" t="s">
        <v>55</v>
      </c>
      <c r="B24" s="6" t="s">
        <v>56</v>
      </c>
      <c r="C24" s="6" t="s">
        <v>11</v>
      </c>
      <c r="D24" s="7">
        <v>1</v>
      </c>
      <c r="E24" s="8">
        <f>'Quote 20'!E9</f>
        <v>0</v>
      </c>
      <c r="F24" s="8">
        <f>'Quote 20'!G9</f>
        <v>33902.5</v>
      </c>
      <c r="G24" s="9" t="s">
        <v>57</v>
      </c>
    </row>
    <row r="25" spans="1:7" x14ac:dyDescent="0.25">
      <c r="A25" s="6" t="s">
        <v>58</v>
      </c>
      <c r="B25" s="6" t="s">
        <v>56</v>
      </c>
      <c r="C25" s="6" t="s">
        <v>11</v>
      </c>
      <c r="D25" s="7">
        <v>3</v>
      </c>
      <c r="E25" s="8">
        <f>'Quote 21'!E11</f>
        <v>0</v>
      </c>
      <c r="F25" s="8">
        <f>'Quote 21'!G11</f>
        <v>44325</v>
      </c>
      <c r="G25" s="9" t="s">
        <v>59</v>
      </c>
    </row>
    <row r="26" spans="1:7" x14ac:dyDescent="0.25">
      <c r="A26" s="6" t="s">
        <v>60</v>
      </c>
      <c r="B26" s="6" t="s">
        <v>61</v>
      </c>
      <c r="C26" s="6" t="s">
        <v>11</v>
      </c>
      <c r="D26" s="7">
        <v>21</v>
      </c>
      <c r="E26" s="8">
        <f>'Quote 22'!E29</f>
        <v>0</v>
      </c>
      <c r="F26" s="8">
        <f>'Quote 22'!G29</f>
        <v>14450</v>
      </c>
      <c r="G26" s="9" t="s">
        <v>62</v>
      </c>
    </row>
    <row r="27" spans="1:7" x14ac:dyDescent="0.25">
      <c r="A27" s="6" t="s">
        <v>63</v>
      </c>
      <c r="B27" s="6" t="s">
        <v>61</v>
      </c>
      <c r="C27" s="6" t="s">
        <v>11</v>
      </c>
      <c r="D27" s="7">
        <v>14</v>
      </c>
      <c r="E27" s="8">
        <f>'Quote 23'!E22</f>
        <v>0</v>
      </c>
      <c r="F27" s="8">
        <f>'Quote 23'!G22</f>
        <v>20640</v>
      </c>
      <c r="G27" s="9" t="s">
        <v>64</v>
      </c>
    </row>
    <row r="28" spans="1:7" x14ac:dyDescent="0.25">
      <c r="A28" s="6" t="s">
        <v>65</v>
      </c>
      <c r="B28" s="6" t="s">
        <v>32</v>
      </c>
      <c r="C28" s="6" t="s">
        <v>11</v>
      </c>
      <c r="D28" s="7">
        <v>9</v>
      </c>
      <c r="E28" s="8">
        <f>'Quote 24'!E17</f>
        <v>0</v>
      </c>
      <c r="F28" s="8">
        <f>'Quote 24'!G17</f>
        <v>6420</v>
      </c>
      <c r="G28" s="9" t="s">
        <v>66</v>
      </c>
    </row>
    <row r="29" spans="1:7" x14ac:dyDescent="0.25">
      <c r="A29" s="6" t="s">
        <v>67</v>
      </c>
      <c r="B29" s="6" t="s">
        <v>56</v>
      </c>
      <c r="C29" s="6" t="s">
        <v>11</v>
      </c>
      <c r="D29" s="7">
        <v>1</v>
      </c>
      <c r="E29" s="8">
        <f>'Quote 25'!E9</f>
        <v>0</v>
      </c>
      <c r="F29" s="8">
        <f>'Quote 25'!G9</f>
        <v>3430</v>
      </c>
      <c r="G29" s="9" t="s">
        <v>68</v>
      </c>
    </row>
    <row r="30" spans="1:7" x14ac:dyDescent="0.25">
      <c r="A30" s="6" t="s">
        <v>69</v>
      </c>
      <c r="B30" s="6" t="s">
        <v>61</v>
      </c>
      <c r="C30" s="6" t="s">
        <v>11</v>
      </c>
      <c r="D30" s="7">
        <v>28</v>
      </c>
      <c r="E30" s="8">
        <f>'Quote 26'!E36</f>
        <v>0</v>
      </c>
      <c r="F30" s="8">
        <f>'Quote 26'!G36</f>
        <v>26275</v>
      </c>
      <c r="G30" s="9" t="s">
        <v>70</v>
      </c>
    </row>
    <row r="31" spans="1:7" x14ac:dyDescent="0.25">
      <c r="A31" s="6" t="s">
        <v>71</v>
      </c>
      <c r="B31" s="6" t="s">
        <v>53</v>
      </c>
      <c r="C31" s="6" t="s">
        <v>11</v>
      </c>
      <c r="D31" s="7">
        <v>10</v>
      </c>
      <c r="E31" s="8">
        <f>'Quote 27'!E18</f>
        <v>0</v>
      </c>
      <c r="F31" s="8">
        <f>'Quote 27'!G18</f>
        <v>12575</v>
      </c>
      <c r="G31" s="9" t="s">
        <v>72</v>
      </c>
    </row>
    <row r="32" spans="1:7" x14ac:dyDescent="0.25">
      <c r="A32" s="6" t="s">
        <v>73</v>
      </c>
      <c r="B32" s="6" t="s">
        <v>53</v>
      </c>
      <c r="C32" s="6" t="s">
        <v>11</v>
      </c>
      <c r="D32" s="7">
        <v>5</v>
      </c>
      <c r="E32" s="8">
        <f>'Quote 28'!E13</f>
        <v>0</v>
      </c>
      <c r="F32" s="8">
        <f>'Quote 28'!G13</f>
        <v>5435</v>
      </c>
      <c r="G32" s="9" t="s">
        <v>74</v>
      </c>
    </row>
    <row r="33" spans="1:7" x14ac:dyDescent="0.25">
      <c r="A33" s="6" t="s">
        <v>75</v>
      </c>
      <c r="B33" s="6" t="s">
        <v>53</v>
      </c>
      <c r="C33" s="6" t="s">
        <v>11</v>
      </c>
      <c r="D33" s="7">
        <v>5</v>
      </c>
      <c r="E33" s="8">
        <f>'Quote 29'!E13</f>
        <v>0</v>
      </c>
      <c r="F33" s="8">
        <f>'Quote 29'!G13</f>
        <v>6271.5</v>
      </c>
      <c r="G33" s="9" t="s">
        <v>76</v>
      </c>
    </row>
    <row r="34" spans="1:7" x14ac:dyDescent="0.25">
      <c r="A34" s="6" t="s">
        <v>77</v>
      </c>
      <c r="B34" s="6" t="s">
        <v>53</v>
      </c>
      <c r="C34" s="6" t="s">
        <v>11</v>
      </c>
      <c r="D34" s="7">
        <v>31</v>
      </c>
      <c r="E34" s="8">
        <f>'Quote 30'!E39</f>
        <v>0</v>
      </c>
      <c r="F34" s="8">
        <f>'Quote 30'!G39</f>
        <v>18845</v>
      </c>
      <c r="G34" s="9" t="s">
        <v>78</v>
      </c>
    </row>
    <row r="35" spans="1:7" x14ac:dyDescent="0.25">
      <c r="A35" s="6" t="s">
        <v>79</v>
      </c>
      <c r="B35" s="6" t="s">
        <v>80</v>
      </c>
      <c r="C35" s="6" t="s">
        <v>11</v>
      </c>
      <c r="D35" s="7">
        <v>16</v>
      </c>
      <c r="E35" s="8">
        <f>'Quote 31'!E24</f>
        <v>0</v>
      </c>
      <c r="F35" s="8">
        <f>'Quote 31'!G24</f>
        <v>27295</v>
      </c>
      <c r="G35" s="9" t="s">
        <v>81</v>
      </c>
    </row>
    <row r="36" spans="1:7" x14ac:dyDescent="0.25">
      <c r="A36" s="6" t="s">
        <v>82</v>
      </c>
      <c r="B36" s="6" t="s">
        <v>80</v>
      </c>
      <c r="C36" s="6" t="s">
        <v>11</v>
      </c>
      <c r="D36" s="7">
        <v>14</v>
      </c>
      <c r="E36" s="8">
        <f>'Quote 32'!E22</f>
        <v>0</v>
      </c>
      <c r="F36" s="8">
        <f>'Quote 32'!G22</f>
        <v>17240</v>
      </c>
      <c r="G36" s="9" t="s">
        <v>83</v>
      </c>
    </row>
    <row r="37" spans="1:7" x14ac:dyDescent="0.25">
      <c r="A37" s="6" t="s">
        <v>84</v>
      </c>
      <c r="B37" s="6" t="s">
        <v>85</v>
      </c>
      <c r="C37" s="6" t="s">
        <v>11</v>
      </c>
      <c r="D37" s="7">
        <v>6</v>
      </c>
      <c r="E37" s="8">
        <f>'Quote 33'!E14</f>
        <v>0</v>
      </c>
      <c r="F37" s="8">
        <f>'Quote 33'!G14</f>
        <v>765</v>
      </c>
      <c r="G37" s="9" t="s">
        <v>86</v>
      </c>
    </row>
    <row r="38" spans="1:7" x14ac:dyDescent="0.25">
      <c r="A38" s="6" t="s">
        <v>87</v>
      </c>
      <c r="B38" s="6" t="s">
        <v>85</v>
      </c>
      <c r="C38" s="6" t="s">
        <v>11</v>
      </c>
      <c r="D38" s="7">
        <v>3</v>
      </c>
      <c r="E38" s="8">
        <f>'Quote 34'!E11</f>
        <v>0</v>
      </c>
      <c r="F38" s="8">
        <f>'Quote 34'!G11</f>
        <v>5238</v>
      </c>
      <c r="G38" s="9" t="s">
        <v>88</v>
      </c>
    </row>
    <row r="39" spans="1:7" x14ac:dyDescent="0.25">
      <c r="A39" s="6" t="s">
        <v>89</v>
      </c>
      <c r="B39" s="6" t="s">
        <v>85</v>
      </c>
      <c r="C39" s="6" t="s">
        <v>11</v>
      </c>
      <c r="D39" s="7">
        <v>4</v>
      </c>
      <c r="E39" s="8">
        <f>'Quote 35'!E12</f>
        <v>0</v>
      </c>
      <c r="F39" s="8">
        <f>'Quote 35'!G12</f>
        <v>2508</v>
      </c>
      <c r="G39" s="9" t="s">
        <v>90</v>
      </c>
    </row>
    <row r="40" spans="1:7" x14ac:dyDescent="0.25">
      <c r="A40" s="6" t="s">
        <v>91</v>
      </c>
      <c r="B40" s="6" t="s">
        <v>92</v>
      </c>
      <c r="C40" s="6" t="s">
        <v>11</v>
      </c>
      <c r="D40" s="7">
        <v>13</v>
      </c>
      <c r="E40" s="8">
        <f>'Quote 36'!E21</f>
        <v>0</v>
      </c>
      <c r="F40" s="8">
        <f>'Quote 36'!G21</f>
        <v>21528</v>
      </c>
      <c r="G40" s="9" t="s">
        <v>93</v>
      </c>
    </row>
    <row r="41" spans="1:7" x14ac:dyDescent="0.25">
      <c r="A41" s="6" t="s">
        <v>94</v>
      </c>
      <c r="B41" s="6" t="s">
        <v>92</v>
      </c>
      <c r="C41" s="6" t="s">
        <v>11</v>
      </c>
      <c r="D41" s="7">
        <v>14</v>
      </c>
      <c r="E41" s="8">
        <f>'Quote 37'!E22</f>
        <v>0</v>
      </c>
      <c r="F41" s="8">
        <f>'Quote 37'!G22</f>
        <v>44795</v>
      </c>
      <c r="G41" s="9" t="s">
        <v>95</v>
      </c>
    </row>
    <row r="42" spans="1:7" x14ac:dyDescent="0.25">
      <c r="A42" s="6" t="s">
        <v>96</v>
      </c>
      <c r="B42" s="6" t="s">
        <v>92</v>
      </c>
      <c r="C42" s="6" t="s">
        <v>11</v>
      </c>
      <c r="D42" s="7">
        <v>2</v>
      </c>
      <c r="E42" s="8">
        <f>'Quote 38'!E10</f>
        <v>0</v>
      </c>
      <c r="F42" s="8">
        <f>'Quote 38'!G10</f>
        <v>11145</v>
      </c>
      <c r="G42" s="9" t="s">
        <v>97</v>
      </c>
    </row>
    <row r="43" spans="1:7" x14ac:dyDescent="0.25">
      <c r="C43" s="10" t="s">
        <v>98</v>
      </c>
      <c r="E43" s="11">
        <f>SUM(E5:E42)</f>
        <v>0</v>
      </c>
      <c r="F43" s="11">
        <f>SUM(F5:F42)</f>
        <v>948120.4</v>
      </c>
    </row>
  </sheetData>
  <hyperlinks>
    <hyperlink ref="G5" location="'Quote 01'!A1" display="Quote 01" xr:uid="{00000000-0004-0000-0000-000000000000}"/>
    <hyperlink ref="G6" location="'Quote 02'!A1" display="Quote 02" xr:uid="{00000000-0004-0000-0000-000001000000}"/>
    <hyperlink ref="G7" location="'Quote 03'!A1" display="Quote 03" xr:uid="{00000000-0004-0000-0000-000002000000}"/>
    <hyperlink ref="G8" location="'Quote 04'!A1" display="Quote 04" xr:uid="{00000000-0004-0000-0000-000003000000}"/>
    <hyperlink ref="G9" location="'Quote 05'!A1" display="Quote 05" xr:uid="{00000000-0004-0000-0000-000004000000}"/>
    <hyperlink ref="G10" location="'Quote 06'!A1" display="Quote 06" xr:uid="{00000000-0004-0000-0000-000005000000}"/>
    <hyperlink ref="G11" location="'Quote 07'!A1" display="Quote 07" xr:uid="{00000000-0004-0000-0000-000006000000}"/>
    <hyperlink ref="G12" location="'Quote 08'!A1" display="Quote 08" xr:uid="{00000000-0004-0000-0000-000007000000}"/>
    <hyperlink ref="G13" location="'Quote 09'!A1" display="Quote 09" xr:uid="{00000000-0004-0000-0000-000008000000}"/>
    <hyperlink ref="G14" location="'Quote 10'!A1" display="Quote 10" xr:uid="{00000000-0004-0000-0000-000009000000}"/>
    <hyperlink ref="G15" location="'Quote 11'!A1" display="Quote 11" xr:uid="{00000000-0004-0000-0000-00000A000000}"/>
    <hyperlink ref="G16" location="'Quote 12'!A1" display="Quote 12" xr:uid="{00000000-0004-0000-0000-00000B000000}"/>
    <hyperlink ref="G17" location="'Quote 13'!A1" display="Quote 13" xr:uid="{00000000-0004-0000-0000-00000C000000}"/>
    <hyperlink ref="G18" location="'Quote 14'!A1" display="Quote 14" xr:uid="{00000000-0004-0000-0000-00000D000000}"/>
    <hyperlink ref="G19" location="'Quote 15'!A1" display="Quote 15" xr:uid="{00000000-0004-0000-0000-00000E000000}"/>
    <hyperlink ref="G20" location="'Quote 16'!A1" display="Quote 16" xr:uid="{00000000-0004-0000-0000-00000F000000}"/>
    <hyperlink ref="G21" location="'Quote 17'!A1" display="Quote 17" xr:uid="{00000000-0004-0000-0000-000010000000}"/>
    <hyperlink ref="G22" location="'Quote 18'!A1" display="Quote 18" xr:uid="{00000000-0004-0000-0000-000011000000}"/>
    <hyperlink ref="G23" location="'Quote 19'!A1" display="Quote 19" xr:uid="{00000000-0004-0000-0000-000012000000}"/>
    <hyperlink ref="G24" location="'Quote 20'!A1" display="Quote 20" xr:uid="{00000000-0004-0000-0000-000013000000}"/>
    <hyperlink ref="G25" location="'Quote 21'!A1" display="Quote 21" xr:uid="{00000000-0004-0000-0000-000014000000}"/>
    <hyperlink ref="G26" location="'Quote 22'!A1" display="Quote 22" xr:uid="{00000000-0004-0000-0000-000015000000}"/>
    <hyperlink ref="G27" location="'Quote 23'!A1" display="Quote 23" xr:uid="{00000000-0004-0000-0000-000016000000}"/>
    <hyperlink ref="G28" location="'Quote 24'!A1" display="Quote 24" xr:uid="{00000000-0004-0000-0000-000017000000}"/>
    <hyperlink ref="G29" location="'Quote 25'!A1" display="Quote 25" xr:uid="{00000000-0004-0000-0000-000018000000}"/>
    <hyperlink ref="G30" location="'Quote 26'!A1" display="Quote 26" xr:uid="{00000000-0004-0000-0000-000019000000}"/>
    <hyperlink ref="G31" location="'Quote 27'!A1" display="Quote 27" xr:uid="{00000000-0004-0000-0000-00001A000000}"/>
    <hyperlink ref="G32" location="'Quote 28'!A1" display="Quote 28" xr:uid="{00000000-0004-0000-0000-00001B000000}"/>
    <hyperlink ref="G33" location="'Quote 29'!A1" display="Quote 29" xr:uid="{00000000-0004-0000-0000-00001C000000}"/>
    <hyperlink ref="G34" location="'Quote 30'!A1" display="Quote 30" xr:uid="{00000000-0004-0000-0000-00001D000000}"/>
    <hyperlink ref="G35" location="'Quote 31'!A1" display="Quote 31" xr:uid="{00000000-0004-0000-0000-00001E000000}"/>
    <hyperlink ref="G36" location="'Quote 32'!A1" display="Quote 32" xr:uid="{00000000-0004-0000-0000-00001F000000}"/>
    <hyperlink ref="G37" location="'Quote 33'!A1" display="Quote 33" xr:uid="{00000000-0004-0000-0000-000020000000}"/>
    <hyperlink ref="G38" location="'Quote 34'!A1" display="Quote 34" xr:uid="{00000000-0004-0000-0000-000021000000}"/>
    <hyperlink ref="G39" location="'Quote 35'!A1" display="Quote 35" xr:uid="{00000000-0004-0000-0000-000022000000}"/>
    <hyperlink ref="G40" location="'Quote 36'!A1" display="Quote 36" xr:uid="{00000000-0004-0000-0000-000023000000}"/>
    <hyperlink ref="G41" location="'Quote 37'!A1" display="Quote 37" xr:uid="{00000000-0004-0000-0000-000024000000}"/>
    <hyperlink ref="G42" location="'Quote 38'!A1" display="Quote 38" xr:uid="{00000000-0004-0000-0000-00002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tabSelected="1" topLeftCell="A30" workbookViewId="0">
      <selection activeCell="D8" sqref="D8"/>
    </sheetView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10</v>
      </c>
      <c r="G5" s="6" t="s">
        <v>9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170</v>
      </c>
      <c r="B8" s="16"/>
      <c r="C8" s="17" t="s">
        <v>110</v>
      </c>
      <c r="D8" s="18"/>
      <c r="E8" s="18" t="str">
        <f t="shared" ref="E8:E39" si="0">IF(ISNUMBER(D8), A8*D8, "")</f>
        <v/>
      </c>
      <c r="F8" s="18">
        <v>775</v>
      </c>
      <c r="G8" s="18">
        <f t="shared" ref="G8:G39" si="1">A8*F8</f>
        <v>131750</v>
      </c>
    </row>
    <row r="9" spans="1:7" x14ac:dyDescent="0.25">
      <c r="A9" s="15">
        <v>12</v>
      </c>
      <c r="B9" s="16" t="s">
        <v>111</v>
      </c>
      <c r="C9" s="17" t="s">
        <v>112</v>
      </c>
      <c r="D9" s="18"/>
      <c r="E9" s="18" t="str">
        <f t="shared" si="0"/>
        <v/>
      </c>
      <c r="F9" s="18">
        <v>775</v>
      </c>
      <c r="G9" s="18">
        <f t="shared" si="1"/>
        <v>9300</v>
      </c>
    </row>
    <row r="10" spans="1:7" x14ac:dyDescent="0.25">
      <c r="A10" s="15">
        <v>1</v>
      </c>
      <c r="B10" s="16"/>
      <c r="C10" s="17" t="s">
        <v>113</v>
      </c>
      <c r="D10" s="18"/>
      <c r="E10" s="18" t="str">
        <f t="shared" si="0"/>
        <v/>
      </c>
      <c r="F10" s="18">
        <v>580</v>
      </c>
      <c r="G10" s="18">
        <f t="shared" si="1"/>
        <v>580</v>
      </c>
    </row>
    <row r="11" spans="1:7" x14ac:dyDescent="0.25">
      <c r="A11" s="15">
        <v>21</v>
      </c>
      <c r="B11" s="16"/>
      <c r="C11" s="17" t="s">
        <v>114</v>
      </c>
      <c r="D11" s="18"/>
      <c r="E11" s="18" t="str">
        <f t="shared" si="0"/>
        <v/>
      </c>
      <c r="F11" s="18">
        <v>475</v>
      </c>
      <c r="G11" s="18">
        <f t="shared" si="1"/>
        <v>9975</v>
      </c>
    </row>
    <row r="12" spans="1:7" x14ac:dyDescent="0.25">
      <c r="A12" s="15">
        <v>7</v>
      </c>
      <c r="B12" s="16"/>
      <c r="C12" s="17" t="s">
        <v>115</v>
      </c>
      <c r="D12" s="18"/>
      <c r="E12" s="18" t="str">
        <f>IF(ISNUMBER(D12), A12*D12, "")</f>
        <v/>
      </c>
      <c r="F12" s="18">
        <v>650</v>
      </c>
      <c r="G12" s="18">
        <f t="shared" si="1"/>
        <v>4550</v>
      </c>
    </row>
    <row r="13" spans="1:7" x14ac:dyDescent="0.25">
      <c r="A13" s="15">
        <v>1</v>
      </c>
      <c r="B13" s="16"/>
      <c r="C13" s="17" t="s">
        <v>116</v>
      </c>
      <c r="D13" s="18"/>
      <c r="E13" s="18" t="str">
        <f t="shared" si="0"/>
        <v/>
      </c>
      <c r="F13" s="18">
        <v>285</v>
      </c>
      <c r="G13" s="18">
        <f t="shared" si="1"/>
        <v>285</v>
      </c>
    </row>
    <row r="14" spans="1:7" x14ac:dyDescent="0.25">
      <c r="A14" s="15">
        <v>1</v>
      </c>
      <c r="B14" s="16" t="s">
        <v>111</v>
      </c>
      <c r="C14" s="17" t="s">
        <v>117</v>
      </c>
      <c r="D14" s="18"/>
      <c r="E14" s="18" t="str">
        <f t="shared" si="0"/>
        <v/>
      </c>
      <c r="F14" s="18">
        <v>2050</v>
      </c>
      <c r="G14" s="18">
        <f t="shared" si="1"/>
        <v>2050</v>
      </c>
    </row>
    <row r="15" spans="1:7" x14ac:dyDescent="0.25">
      <c r="A15" s="15">
        <v>1</v>
      </c>
      <c r="B15" s="16" t="s">
        <v>111</v>
      </c>
      <c r="C15" s="17" t="s">
        <v>118</v>
      </c>
      <c r="D15" s="18"/>
      <c r="E15" s="18" t="str">
        <f t="shared" si="0"/>
        <v/>
      </c>
      <c r="F15" s="18">
        <v>2500</v>
      </c>
      <c r="G15" s="18">
        <f t="shared" si="1"/>
        <v>2500</v>
      </c>
    </row>
    <row r="16" spans="1:7" x14ac:dyDescent="0.25">
      <c r="A16" s="15">
        <v>1</v>
      </c>
      <c r="B16" s="16"/>
      <c r="C16" s="17" t="s">
        <v>119</v>
      </c>
      <c r="D16" s="18"/>
      <c r="E16" s="18" t="str">
        <f t="shared" si="0"/>
        <v/>
      </c>
      <c r="F16" s="18">
        <v>1070</v>
      </c>
      <c r="G16" s="18">
        <f t="shared" si="1"/>
        <v>1070</v>
      </c>
    </row>
    <row r="17" spans="1:7" x14ac:dyDescent="0.25">
      <c r="A17" s="15">
        <v>12</v>
      </c>
      <c r="B17" s="16"/>
      <c r="C17" s="17" t="s">
        <v>120</v>
      </c>
      <c r="D17" s="18"/>
      <c r="E17" s="18" t="str">
        <f t="shared" si="0"/>
        <v/>
      </c>
      <c r="F17" s="18">
        <v>615</v>
      </c>
      <c r="G17" s="18">
        <f t="shared" si="1"/>
        <v>7380</v>
      </c>
    </row>
    <row r="18" spans="1:7" x14ac:dyDescent="0.25">
      <c r="A18" s="15">
        <v>4</v>
      </c>
      <c r="B18" s="16"/>
      <c r="C18" s="17" t="s">
        <v>121</v>
      </c>
      <c r="D18" s="18"/>
      <c r="E18" s="18" t="str">
        <f t="shared" si="0"/>
        <v/>
      </c>
      <c r="F18" s="18">
        <v>570</v>
      </c>
      <c r="G18" s="18">
        <f t="shared" si="1"/>
        <v>2280</v>
      </c>
    </row>
    <row r="19" spans="1:7" x14ac:dyDescent="0.25">
      <c r="A19" s="15">
        <v>9</v>
      </c>
      <c r="B19" s="16"/>
      <c r="C19" s="17" t="s">
        <v>122</v>
      </c>
      <c r="D19" s="18"/>
      <c r="E19" s="18" t="str">
        <f t="shared" si="0"/>
        <v/>
      </c>
      <c r="F19" s="18">
        <v>595</v>
      </c>
      <c r="G19" s="18">
        <f t="shared" si="1"/>
        <v>5355</v>
      </c>
    </row>
    <row r="20" spans="1:7" x14ac:dyDescent="0.25">
      <c r="A20" s="15">
        <v>3</v>
      </c>
      <c r="B20" s="16"/>
      <c r="C20" s="17" t="s">
        <v>123</v>
      </c>
      <c r="D20" s="18"/>
      <c r="E20" s="18" t="str">
        <f t="shared" si="0"/>
        <v/>
      </c>
      <c r="F20" s="18">
        <v>625</v>
      </c>
      <c r="G20" s="18">
        <f t="shared" si="1"/>
        <v>1875</v>
      </c>
    </row>
    <row r="21" spans="1:7" x14ac:dyDescent="0.25">
      <c r="A21" s="15">
        <v>8</v>
      </c>
      <c r="B21" s="16"/>
      <c r="C21" s="17" t="s">
        <v>124</v>
      </c>
      <c r="D21" s="18"/>
      <c r="E21" s="18" t="str">
        <f t="shared" si="0"/>
        <v/>
      </c>
      <c r="F21" s="18">
        <v>750</v>
      </c>
      <c r="G21" s="18">
        <f t="shared" si="1"/>
        <v>6000</v>
      </c>
    </row>
    <row r="22" spans="1:7" x14ac:dyDescent="0.25">
      <c r="A22" s="15">
        <v>12</v>
      </c>
      <c r="B22" s="16"/>
      <c r="C22" s="17" t="s">
        <v>125</v>
      </c>
      <c r="D22" s="18"/>
      <c r="E22" s="18" t="str">
        <f t="shared" si="0"/>
        <v/>
      </c>
      <c r="F22" s="18">
        <v>700</v>
      </c>
      <c r="G22" s="18">
        <f t="shared" si="1"/>
        <v>8400</v>
      </c>
    </row>
    <row r="23" spans="1:7" x14ac:dyDescent="0.25">
      <c r="A23" s="15">
        <v>4</v>
      </c>
      <c r="B23" s="16"/>
      <c r="C23" s="17" t="s">
        <v>126</v>
      </c>
      <c r="D23" s="18"/>
      <c r="E23" s="18" t="str">
        <f t="shared" si="0"/>
        <v/>
      </c>
      <c r="F23" s="18">
        <v>750</v>
      </c>
      <c r="G23" s="18">
        <f t="shared" si="1"/>
        <v>3000</v>
      </c>
    </row>
    <row r="24" spans="1:7" x14ac:dyDescent="0.25">
      <c r="A24" s="15">
        <v>8</v>
      </c>
      <c r="B24" s="16"/>
      <c r="C24" s="17" t="s">
        <v>127</v>
      </c>
      <c r="D24" s="18"/>
      <c r="E24" s="18" t="str">
        <f t="shared" si="0"/>
        <v/>
      </c>
      <c r="F24" s="18">
        <v>640</v>
      </c>
      <c r="G24" s="18">
        <f t="shared" si="1"/>
        <v>5120</v>
      </c>
    </row>
    <row r="25" spans="1:7" x14ac:dyDescent="0.25">
      <c r="A25" s="15">
        <v>4</v>
      </c>
      <c r="B25" s="16"/>
      <c r="C25" s="17" t="s">
        <v>128</v>
      </c>
      <c r="D25" s="18"/>
      <c r="E25" s="18" t="str">
        <f t="shared" si="0"/>
        <v/>
      </c>
      <c r="F25" s="18">
        <v>790</v>
      </c>
      <c r="G25" s="18">
        <f t="shared" si="1"/>
        <v>3160</v>
      </c>
    </row>
    <row r="26" spans="1:7" x14ac:dyDescent="0.25">
      <c r="A26" s="15">
        <v>4</v>
      </c>
      <c r="B26" s="16"/>
      <c r="C26" s="17" t="s">
        <v>129</v>
      </c>
      <c r="D26" s="18"/>
      <c r="E26" s="18" t="str">
        <f t="shared" si="0"/>
        <v/>
      </c>
      <c r="F26" s="18">
        <v>660</v>
      </c>
      <c r="G26" s="18">
        <f t="shared" si="1"/>
        <v>2640</v>
      </c>
    </row>
    <row r="27" spans="1:7" x14ac:dyDescent="0.25">
      <c r="A27" s="15">
        <v>6</v>
      </c>
      <c r="B27" s="16"/>
      <c r="C27" s="17" t="s">
        <v>130</v>
      </c>
      <c r="D27" s="18"/>
      <c r="E27" s="18" t="str">
        <f t="shared" si="0"/>
        <v/>
      </c>
      <c r="F27" s="18">
        <v>555</v>
      </c>
      <c r="G27" s="18">
        <f t="shared" si="1"/>
        <v>3330</v>
      </c>
    </row>
    <row r="28" spans="1:7" x14ac:dyDescent="0.25">
      <c r="A28" s="15">
        <v>24</v>
      </c>
      <c r="B28" s="16"/>
      <c r="C28" s="17" t="s">
        <v>131</v>
      </c>
      <c r="D28" s="18"/>
      <c r="E28" s="18" t="str">
        <f t="shared" si="0"/>
        <v/>
      </c>
      <c r="F28" s="18">
        <v>55</v>
      </c>
      <c r="G28" s="18">
        <f t="shared" si="1"/>
        <v>1320</v>
      </c>
    </row>
    <row r="29" spans="1:7" x14ac:dyDescent="0.25">
      <c r="A29" s="15">
        <v>4000</v>
      </c>
      <c r="B29" s="16"/>
      <c r="C29" s="17" t="s">
        <v>132</v>
      </c>
      <c r="D29" s="18"/>
      <c r="E29" s="18" t="str">
        <f t="shared" si="0"/>
        <v/>
      </c>
      <c r="F29" s="18">
        <v>1</v>
      </c>
      <c r="G29" s="18">
        <f t="shared" si="1"/>
        <v>4000</v>
      </c>
    </row>
    <row r="30" spans="1:7" x14ac:dyDescent="0.25">
      <c r="A30" s="15">
        <v>9000</v>
      </c>
      <c r="B30" s="16"/>
      <c r="C30" s="17" t="s">
        <v>133</v>
      </c>
      <c r="D30" s="18"/>
      <c r="E30" s="18" t="str">
        <f t="shared" si="0"/>
        <v/>
      </c>
      <c r="F30" s="18">
        <v>1</v>
      </c>
      <c r="G30" s="18">
        <f t="shared" si="1"/>
        <v>9000</v>
      </c>
    </row>
    <row r="31" spans="1:7" x14ac:dyDescent="0.25">
      <c r="A31" s="15">
        <v>7</v>
      </c>
      <c r="B31" s="16"/>
      <c r="C31" s="17" t="s">
        <v>134</v>
      </c>
      <c r="D31" s="18"/>
      <c r="E31" s="18" t="str">
        <f t="shared" si="0"/>
        <v/>
      </c>
      <c r="F31" s="18">
        <v>300</v>
      </c>
      <c r="G31" s="18">
        <f t="shared" si="1"/>
        <v>2100</v>
      </c>
    </row>
    <row r="32" spans="1:7" x14ac:dyDescent="0.25">
      <c r="A32" s="15">
        <v>51</v>
      </c>
      <c r="B32" s="16"/>
      <c r="C32" s="17" t="s">
        <v>135</v>
      </c>
      <c r="D32" s="18"/>
      <c r="E32" s="18" t="str">
        <f t="shared" si="0"/>
        <v/>
      </c>
      <c r="F32" s="18">
        <v>25</v>
      </c>
      <c r="G32" s="18">
        <f t="shared" si="1"/>
        <v>1275</v>
      </c>
    </row>
    <row r="33" spans="1:7" x14ac:dyDescent="0.25">
      <c r="A33" s="15">
        <v>75</v>
      </c>
      <c r="B33" s="16"/>
      <c r="C33" s="17" t="s">
        <v>136</v>
      </c>
      <c r="D33" s="18"/>
      <c r="E33" s="18" t="str">
        <f t="shared" si="0"/>
        <v/>
      </c>
      <c r="F33" s="18">
        <v>40</v>
      </c>
      <c r="G33" s="18">
        <f t="shared" si="1"/>
        <v>3000</v>
      </c>
    </row>
    <row r="34" spans="1:7" x14ac:dyDescent="0.25">
      <c r="A34" s="15">
        <v>6</v>
      </c>
      <c r="B34" s="16"/>
      <c r="C34" s="17" t="s">
        <v>137</v>
      </c>
      <c r="D34" s="18"/>
      <c r="E34" s="18" t="str">
        <f t="shared" si="0"/>
        <v/>
      </c>
      <c r="F34" s="18">
        <v>115</v>
      </c>
      <c r="G34" s="18">
        <f t="shared" si="1"/>
        <v>690</v>
      </c>
    </row>
    <row r="35" spans="1:7" x14ac:dyDescent="0.25">
      <c r="A35" s="15">
        <v>7</v>
      </c>
      <c r="B35" s="16"/>
      <c r="C35" s="17" t="s">
        <v>138</v>
      </c>
      <c r="D35" s="18"/>
      <c r="E35" s="18" t="str">
        <f t="shared" si="0"/>
        <v/>
      </c>
      <c r="F35" s="18">
        <v>115</v>
      </c>
      <c r="G35" s="18">
        <f t="shared" si="1"/>
        <v>805</v>
      </c>
    </row>
    <row r="36" spans="1:7" x14ac:dyDescent="0.25">
      <c r="A36" s="15">
        <v>6</v>
      </c>
      <c r="B36" s="16"/>
      <c r="C36" s="17" t="s">
        <v>139</v>
      </c>
      <c r="D36" s="18"/>
      <c r="E36" s="18" t="str">
        <f t="shared" si="0"/>
        <v/>
      </c>
      <c r="F36" s="18">
        <v>650</v>
      </c>
      <c r="G36" s="18">
        <f t="shared" si="1"/>
        <v>3900</v>
      </c>
    </row>
    <row r="37" spans="1:7" x14ac:dyDescent="0.25">
      <c r="A37" s="15">
        <v>42</v>
      </c>
      <c r="B37" s="16"/>
      <c r="C37" s="17" t="s">
        <v>140</v>
      </c>
      <c r="D37" s="18"/>
      <c r="E37" s="18" t="str">
        <f t="shared" si="0"/>
        <v/>
      </c>
      <c r="F37" s="18">
        <v>180</v>
      </c>
      <c r="G37" s="18">
        <f t="shared" si="1"/>
        <v>7560</v>
      </c>
    </row>
    <row r="38" spans="1:7" x14ac:dyDescent="0.25">
      <c r="A38" s="15">
        <v>18</v>
      </c>
      <c r="B38" s="16"/>
      <c r="C38" s="17" t="s">
        <v>141</v>
      </c>
      <c r="D38" s="18"/>
      <c r="E38" s="18" t="str">
        <f t="shared" si="0"/>
        <v/>
      </c>
      <c r="F38" s="18">
        <v>250</v>
      </c>
      <c r="G38" s="18">
        <f t="shared" si="1"/>
        <v>4500</v>
      </c>
    </row>
    <row r="39" spans="1:7" x14ac:dyDescent="0.25">
      <c r="A39" s="15">
        <v>9350</v>
      </c>
      <c r="B39" s="16"/>
      <c r="C39" s="17" t="s">
        <v>142</v>
      </c>
      <c r="D39" s="18"/>
      <c r="E39" s="18" t="str">
        <f t="shared" si="0"/>
        <v/>
      </c>
      <c r="F39" s="18">
        <v>1</v>
      </c>
      <c r="G39" s="18">
        <f t="shared" si="1"/>
        <v>9350</v>
      </c>
    </row>
    <row r="40" spans="1:7" x14ac:dyDescent="0.25">
      <c r="A40" s="15">
        <v>2000</v>
      </c>
      <c r="B40" s="16"/>
      <c r="C40" s="17" t="s">
        <v>142</v>
      </c>
      <c r="D40" s="18"/>
      <c r="E40" s="18" t="str">
        <f t="shared" ref="E40:E71" si="2">IF(ISNUMBER(D40), A40*D40, "")</f>
        <v/>
      </c>
      <c r="F40" s="18">
        <v>1</v>
      </c>
      <c r="G40" s="18">
        <f t="shared" ref="G40:G71" si="3">A40*F40</f>
        <v>2000</v>
      </c>
    </row>
    <row r="41" spans="1:7" x14ac:dyDescent="0.25">
      <c r="A41" s="15">
        <v>12480</v>
      </c>
      <c r="B41" s="16"/>
      <c r="C41" s="17" t="s">
        <v>143</v>
      </c>
      <c r="D41" s="18"/>
      <c r="E41" s="18" t="str">
        <f t="shared" si="2"/>
        <v/>
      </c>
      <c r="F41" s="18">
        <v>1</v>
      </c>
      <c r="G41" s="18">
        <f t="shared" si="3"/>
        <v>12480</v>
      </c>
    </row>
    <row r="42" spans="1:7" x14ac:dyDescent="0.25">
      <c r="A42" s="15">
        <v>7110</v>
      </c>
      <c r="B42" s="16"/>
      <c r="C42" s="17" t="s">
        <v>144</v>
      </c>
      <c r="D42" s="18"/>
      <c r="E42" s="18" t="str">
        <f t="shared" si="2"/>
        <v/>
      </c>
      <c r="F42" s="18">
        <v>1</v>
      </c>
      <c r="G42" s="18">
        <f t="shared" si="3"/>
        <v>7110</v>
      </c>
    </row>
    <row r="43" spans="1:7" x14ac:dyDescent="0.25">
      <c r="A43" s="15">
        <v>5460</v>
      </c>
      <c r="B43" s="16"/>
      <c r="C43" s="17" t="s">
        <v>145</v>
      </c>
      <c r="D43" s="18"/>
      <c r="E43" s="18" t="str">
        <f t="shared" si="2"/>
        <v/>
      </c>
      <c r="F43" s="18">
        <v>1</v>
      </c>
      <c r="G43" s="18">
        <f t="shared" si="3"/>
        <v>5460</v>
      </c>
    </row>
    <row r="44" spans="1:7" x14ac:dyDescent="0.25">
      <c r="A44" s="15">
        <v>11060</v>
      </c>
      <c r="B44" s="16"/>
      <c r="C44" s="17" t="s">
        <v>146</v>
      </c>
      <c r="D44" s="18"/>
      <c r="E44" s="18" t="str">
        <f t="shared" si="2"/>
        <v/>
      </c>
      <c r="F44" s="18">
        <v>1</v>
      </c>
      <c r="G44" s="18">
        <f t="shared" si="3"/>
        <v>11060</v>
      </c>
    </row>
    <row r="45" spans="1:7" x14ac:dyDescent="0.25">
      <c r="A45" s="15">
        <v>1170</v>
      </c>
      <c r="B45" s="16"/>
      <c r="C45" s="17" t="s">
        <v>147</v>
      </c>
      <c r="D45" s="18"/>
      <c r="E45" s="18" t="str">
        <f t="shared" si="2"/>
        <v/>
      </c>
      <c r="F45" s="18">
        <v>1</v>
      </c>
      <c r="G45" s="18">
        <f t="shared" si="3"/>
        <v>1170</v>
      </c>
    </row>
    <row r="46" spans="1:7" x14ac:dyDescent="0.25">
      <c r="A46" s="15">
        <v>7600</v>
      </c>
      <c r="B46" s="16"/>
      <c r="C46" s="17" t="s">
        <v>148</v>
      </c>
      <c r="D46" s="18"/>
      <c r="E46" s="18" t="str">
        <f t="shared" si="2"/>
        <v/>
      </c>
      <c r="F46" s="18">
        <v>1</v>
      </c>
      <c r="G46" s="18">
        <f t="shared" si="3"/>
        <v>7600</v>
      </c>
    </row>
    <row r="47" spans="1:7" x14ac:dyDescent="0.25">
      <c r="A47" s="15">
        <v>18</v>
      </c>
      <c r="B47" s="16"/>
      <c r="C47" s="17" t="s">
        <v>149</v>
      </c>
      <c r="D47" s="18"/>
      <c r="E47" s="18" t="str">
        <f t="shared" si="2"/>
        <v/>
      </c>
      <c r="F47" s="18">
        <v>160</v>
      </c>
      <c r="G47" s="18">
        <f t="shared" si="3"/>
        <v>2880</v>
      </c>
    </row>
    <row r="48" spans="1:7" x14ac:dyDescent="0.25">
      <c r="A48" s="15">
        <v>9</v>
      </c>
      <c r="B48" s="16"/>
      <c r="C48" s="17" t="s">
        <v>150</v>
      </c>
      <c r="D48" s="18"/>
      <c r="E48" s="18" t="str">
        <f t="shared" si="2"/>
        <v/>
      </c>
      <c r="F48" s="18">
        <v>190</v>
      </c>
      <c r="G48" s="18">
        <f t="shared" si="3"/>
        <v>1710</v>
      </c>
    </row>
    <row r="49" spans="1:7" x14ac:dyDescent="0.25">
      <c r="A49" s="15">
        <v>13</v>
      </c>
      <c r="B49" s="16"/>
      <c r="C49" s="17" t="s">
        <v>151</v>
      </c>
      <c r="D49" s="18"/>
      <c r="E49" s="18" t="str">
        <f t="shared" si="2"/>
        <v/>
      </c>
      <c r="F49" s="18">
        <v>70</v>
      </c>
      <c r="G49" s="18">
        <f t="shared" si="3"/>
        <v>910</v>
      </c>
    </row>
    <row r="50" spans="1:7" x14ac:dyDescent="0.25">
      <c r="A50" s="15">
        <v>8</v>
      </c>
      <c r="B50" s="16"/>
      <c r="C50" s="17" t="s">
        <v>152</v>
      </c>
      <c r="D50" s="18"/>
      <c r="E50" s="18" t="str">
        <f t="shared" si="2"/>
        <v/>
      </c>
      <c r="F50" s="18">
        <v>75</v>
      </c>
      <c r="G50" s="18">
        <f t="shared" si="3"/>
        <v>600</v>
      </c>
    </row>
    <row r="51" spans="1:7" x14ac:dyDescent="0.25">
      <c r="A51" s="15">
        <v>28</v>
      </c>
      <c r="B51" s="16"/>
      <c r="C51" s="17" t="s">
        <v>153</v>
      </c>
      <c r="D51" s="18"/>
      <c r="E51" s="18" t="str">
        <f t="shared" si="2"/>
        <v/>
      </c>
      <c r="F51" s="18">
        <v>50</v>
      </c>
      <c r="G51" s="18">
        <f t="shared" si="3"/>
        <v>1400</v>
      </c>
    </row>
    <row r="52" spans="1:7" x14ac:dyDescent="0.25">
      <c r="A52" s="15">
        <v>6</v>
      </c>
      <c r="B52" s="16"/>
      <c r="C52" s="17" t="s">
        <v>154</v>
      </c>
      <c r="D52" s="18"/>
      <c r="E52" s="18" t="str">
        <f t="shared" si="2"/>
        <v/>
      </c>
      <c r="F52" s="18">
        <v>40</v>
      </c>
      <c r="G52" s="18">
        <f t="shared" si="3"/>
        <v>240</v>
      </c>
    </row>
    <row r="53" spans="1:7" x14ac:dyDescent="0.25">
      <c r="A53" s="15">
        <v>6</v>
      </c>
      <c r="B53" s="16"/>
      <c r="C53" s="17" t="s">
        <v>155</v>
      </c>
      <c r="D53" s="18"/>
      <c r="E53" s="18" t="str">
        <f t="shared" si="2"/>
        <v/>
      </c>
      <c r="F53" s="18">
        <v>40</v>
      </c>
      <c r="G53" s="18">
        <f t="shared" si="3"/>
        <v>240</v>
      </c>
    </row>
    <row r="54" spans="1:7" x14ac:dyDescent="0.25">
      <c r="A54" s="15">
        <v>5</v>
      </c>
      <c r="B54" s="16"/>
      <c r="C54" s="17" t="s">
        <v>156</v>
      </c>
      <c r="D54" s="18"/>
      <c r="E54" s="18" t="str">
        <f t="shared" si="2"/>
        <v/>
      </c>
      <c r="F54" s="18">
        <v>1820</v>
      </c>
      <c r="G54" s="18">
        <f t="shared" si="3"/>
        <v>9100</v>
      </c>
    </row>
    <row r="55" spans="1:7" x14ac:dyDescent="0.25">
      <c r="A55" s="15">
        <v>10400</v>
      </c>
      <c r="B55" s="16"/>
      <c r="C55" s="17" t="s">
        <v>157</v>
      </c>
      <c r="D55" s="18"/>
      <c r="E55" s="18" t="str">
        <f t="shared" si="2"/>
        <v/>
      </c>
      <c r="F55" s="18">
        <v>1</v>
      </c>
      <c r="G55" s="18">
        <f t="shared" si="3"/>
        <v>10400</v>
      </c>
    </row>
    <row r="56" spans="1:7" x14ac:dyDescent="0.25">
      <c r="A56" s="15">
        <v>4760</v>
      </c>
      <c r="B56" s="16"/>
      <c r="C56" s="17" t="s">
        <v>158</v>
      </c>
      <c r="D56" s="18"/>
      <c r="E56" s="18" t="str">
        <f t="shared" si="2"/>
        <v/>
      </c>
      <c r="F56" s="18">
        <v>2</v>
      </c>
      <c r="G56" s="18">
        <f t="shared" si="3"/>
        <v>9520</v>
      </c>
    </row>
    <row r="57" spans="1:7" x14ac:dyDescent="0.25">
      <c r="A57" s="15">
        <v>176</v>
      </c>
      <c r="B57" s="16" t="s">
        <v>159</v>
      </c>
      <c r="C57" s="17" t="s">
        <v>160</v>
      </c>
      <c r="D57" s="18"/>
      <c r="E57" s="18" t="str">
        <f t="shared" si="2"/>
        <v/>
      </c>
      <c r="F57" s="18">
        <v>90</v>
      </c>
      <c r="G57" s="18">
        <f t="shared" si="3"/>
        <v>15840</v>
      </c>
    </row>
    <row r="58" spans="1:7" x14ac:dyDescent="0.25">
      <c r="A58" s="15">
        <v>22</v>
      </c>
      <c r="B58" s="16" t="s">
        <v>159</v>
      </c>
      <c r="C58" s="17" t="s">
        <v>161</v>
      </c>
      <c r="D58" s="18"/>
      <c r="E58" s="18" t="str">
        <f t="shared" si="2"/>
        <v/>
      </c>
      <c r="F58" s="18">
        <v>90</v>
      </c>
      <c r="G58" s="18">
        <f t="shared" si="3"/>
        <v>1980</v>
      </c>
    </row>
    <row r="59" spans="1:7" x14ac:dyDescent="0.25">
      <c r="A59" s="15">
        <v>110</v>
      </c>
      <c r="B59" s="16" t="s">
        <v>159</v>
      </c>
      <c r="C59" s="17" t="s">
        <v>162</v>
      </c>
      <c r="D59" s="18"/>
      <c r="E59" s="18" t="str">
        <f t="shared" si="2"/>
        <v/>
      </c>
      <c r="F59" s="18">
        <v>100</v>
      </c>
      <c r="G59" s="18">
        <f t="shared" si="3"/>
        <v>11000</v>
      </c>
    </row>
    <row r="60" spans="1:7" x14ac:dyDescent="0.25">
      <c r="A60" s="15">
        <v>110</v>
      </c>
      <c r="B60" s="16" t="s">
        <v>159</v>
      </c>
      <c r="C60" s="17" t="s">
        <v>163</v>
      </c>
      <c r="D60" s="18"/>
      <c r="E60" s="18" t="str">
        <f t="shared" si="2"/>
        <v/>
      </c>
      <c r="F60" s="18">
        <v>100</v>
      </c>
      <c r="G60" s="18">
        <f t="shared" si="3"/>
        <v>11000</v>
      </c>
    </row>
    <row r="61" spans="1:7" x14ac:dyDescent="0.25">
      <c r="A61" s="15">
        <v>132</v>
      </c>
      <c r="B61" s="16" t="s">
        <v>159</v>
      </c>
      <c r="C61" s="17" t="s">
        <v>164</v>
      </c>
      <c r="D61" s="18"/>
      <c r="E61" s="18" t="str">
        <f t="shared" si="2"/>
        <v/>
      </c>
      <c r="F61" s="18">
        <v>100</v>
      </c>
      <c r="G61" s="18">
        <f t="shared" si="3"/>
        <v>13200</v>
      </c>
    </row>
    <row r="62" spans="1:7" x14ac:dyDescent="0.25">
      <c r="A62" s="15">
        <v>22</v>
      </c>
      <c r="B62" s="16" t="s">
        <v>159</v>
      </c>
      <c r="C62" s="17" t="s">
        <v>165</v>
      </c>
      <c r="D62" s="18"/>
      <c r="E62" s="18" t="str">
        <f t="shared" si="2"/>
        <v/>
      </c>
      <c r="F62" s="18">
        <v>80</v>
      </c>
      <c r="G62" s="18">
        <f t="shared" si="3"/>
        <v>1760</v>
      </c>
    </row>
    <row r="63" spans="1:7" x14ac:dyDescent="0.25">
      <c r="A63" s="15">
        <v>20</v>
      </c>
      <c r="B63" s="16"/>
      <c r="C63" s="17" t="s">
        <v>166</v>
      </c>
      <c r="D63" s="18"/>
      <c r="E63" s="18" t="str">
        <f t="shared" si="2"/>
        <v/>
      </c>
      <c r="F63" s="18">
        <v>110</v>
      </c>
      <c r="G63" s="18">
        <f t="shared" si="3"/>
        <v>2200</v>
      </c>
    </row>
    <row r="64" spans="1:7" x14ac:dyDescent="0.25">
      <c r="C64" s="10" t="s">
        <v>167</v>
      </c>
      <c r="E64" s="11">
        <f>SUM(E8:E63)</f>
        <v>0</v>
      </c>
      <c r="G64" s="11">
        <f>SUM(G8:G63)</f>
        <v>398960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10</v>
      </c>
      <c r="G5" s="6" t="s">
        <v>13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2</v>
      </c>
      <c r="B8" s="16"/>
      <c r="C8" s="17" t="s">
        <v>168</v>
      </c>
      <c r="D8" s="18"/>
      <c r="E8" s="18" t="str">
        <f t="shared" ref="E8:E34" si="0">IF(ISNUMBER(D8), A8*D8, "")</f>
        <v/>
      </c>
      <c r="F8" s="18">
        <v>365</v>
      </c>
      <c r="G8" s="18">
        <f t="shared" ref="G8:G34" si="1">A8*F8</f>
        <v>730</v>
      </c>
    </row>
    <row r="9" spans="1:7" x14ac:dyDescent="0.25">
      <c r="A9" s="15">
        <v>13</v>
      </c>
      <c r="B9" s="16"/>
      <c r="C9" s="17" t="s">
        <v>169</v>
      </c>
      <c r="D9" s="18"/>
      <c r="E9" s="18" t="str">
        <f t="shared" si="0"/>
        <v/>
      </c>
      <c r="F9" s="18">
        <v>270</v>
      </c>
      <c r="G9" s="18">
        <f t="shared" si="1"/>
        <v>3510</v>
      </c>
    </row>
    <row r="10" spans="1:7" x14ac:dyDescent="0.25">
      <c r="A10" s="15">
        <v>2</v>
      </c>
      <c r="B10" s="16"/>
      <c r="C10" s="17" t="s">
        <v>170</v>
      </c>
      <c r="D10" s="18"/>
      <c r="E10" s="18" t="str">
        <f t="shared" si="0"/>
        <v/>
      </c>
      <c r="F10" s="18">
        <v>160</v>
      </c>
      <c r="G10" s="18">
        <f t="shared" si="1"/>
        <v>320</v>
      </c>
    </row>
    <row r="11" spans="1:7" x14ac:dyDescent="0.25">
      <c r="A11" s="15">
        <v>2</v>
      </c>
      <c r="B11" s="16"/>
      <c r="C11" s="17" t="s">
        <v>171</v>
      </c>
      <c r="D11" s="18"/>
      <c r="E11" s="18" t="str">
        <f t="shared" si="0"/>
        <v/>
      </c>
      <c r="F11" s="18">
        <v>190</v>
      </c>
      <c r="G11" s="18">
        <f t="shared" si="1"/>
        <v>380</v>
      </c>
    </row>
    <row r="12" spans="1:7" x14ac:dyDescent="0.25">
      <c r="A12" s="15">
        <v>3</v>
      </c>
      <c r="B12" s="16"/>
      <c r="C12" s="17" t="s">
        <v>172</v>
      </c>
      <c r="D12" s="18"/>
      <c r="E12" s="18" t="str">
        <f t="shared" si="0"/>
        <v/>
      </c>
      <c r="F12" s="18">
        <v>545</v>
      </c>
      <c r="G12" s="18">
        <f t="shared" si="1"/>
        <v>1635</v>
      </c>
    </row>
    <row r="13" spans="1:7" x14ac:dyDescent="0.25">
      <c r="A13" s="15">
        <v>1</v>
      </c>
      <c r="B13" s="16"/>
      <c r="C13" s="17" t="s">
        <v>173</v>
      </c>
      <c r="D13" s="18"/>
      <c r="E13" s="18" t="str">
        <f t="shared" si="0"/>
        <v/>
      </c>
      <c r="F13" s="18">
        <v>240</v>
      </c>
      <c r="G13" s="18">
        <f t="shared" si="1"/>
        <v>240</v>
      </c>
    </row>
    <row r="14" spans="1:7" x14ac:dyDescent="0.25">
      <c r="A14" s="15">
        <v>1</v>
      </c>
      <c r="B14" s="16"/>
      <c r="C14" s="17" t="s">
        <v>174</v>
      </c>
      <c r="D14" s="18"/>
      <c r="E14" s="18" t="str">
        <f t="shared" si="0"/>
        <v/>
      </c>
      <c r="F14" s="18">
        <v>195</v>
      </c>
      <c r="G14" s="18">
        <f t="shared" si="1"/>
        <v>195</v>
      </c>
    </row>
    <row r="15" spans="1:7" x14ac:dyDescent="0.25">
      <c r="A15" s="15">
        <v>7</v>
      </c>
      <c r="B15" s="16"/>
      <c r="C15" s="17" t="s">
        <v>175</v>
      </c>
      <c r="D15" s="18"/>
      <c r="E15" s="18" t="str">
        <f t="shared" si="0"/>
        <v/>
      </c>
      <c r="F15" s="18">
        <v>15</v>
      </c>
      <c r="G15" s="18">
        <f t="shared" si="1"/>
        <v>105</v>
      </c>
    </row>
    <row r="16" spans="1:7" x14ac:dyDescent="0.25">
      <c r="A16" s="15">
        <v>5</v>
      </c>
      <c r="B16" s="16"/>
      <c r="C16" s="17" t="s">
        <v>176</v>
      </c>
      <c r="D16" s="18"/>
      <c r="E16" s="18" t="str">
        <f t="shared" si="0"/>
        <v/>
      </c>
      <c r="F16" s="18">
        <v>10</v>
      </c>
      <c r="G16" s="18">
        <f t="shared" si="1"/>
        <v>50</v>
      </c>
    </row>
    <row r="17" spans="1:7" x14ac:dyDescent="0.25">
      <c r="A17" s="15">
        <v>4</v>
      </c>
      <c r="B17" s="16"/>
      <c r="C17" s="17" t="s">
        <v>177</v>
      </c>
      <c r="D17" s="18"/>
      <c r="E17" s="18" t="str">
        <f t="shared" si="0"/>
        <v/>
      </c>
      <c r="F17" s="18">
        <v>30</v>
      </c>
      <c r="G17" s="18">
        <f t="shared" si="1"/>
        <v>120</v>
      </c>
    </row>
    <row r="18" spans="1:7" x14ac:dyDescent="0.25">
      <c r="A18" s="15">
        <v>1</v>
      </c>
      <c r="B18" s="16"/>
      <c r="C18" s="17" t="s">
        <v>178</v>
      </c>
      <c r="D18" s="18"/>
      <c r="E18" s="18" t="str">
        <f t="shared" si="0"/>
        <v/>
      </c>
      <c r="F18" s="18">
        <v>100</v>
      </c>
      <c r="G18" s="18">
        <f t="shared" si="1"/>
        <v>100</v>
      </c>
    </row>
    <row r="19" spans="1:7" x14ac:dyDescent="0.25">
      <c r="A19" s="15">
        <v>2</v>
      </c>
      <c r="B19" s="16"/>
      <c r="C19" s="17" t="s">
        <v>179</v>
      </c>
      <c r="D19" s="18"/>
      <c r="E19" s="18" t="str">
        <f t="shared" si="0"/>
        <v/>
      </c>
      <c r="F19" s="18">
        <v>115</v>
      </c>
      <c r="G19" s="18">
        <f t="shared" si="1"/>
        <v>230</v>
      </c>
    </row>
    <row r="20" spans="1:7" x14ac:dyDescent="0.25">
      <c r="A20" s="15">
        <v>3</v>
      </c>
      <c r="B20" s="16"/>
      <c r="C20" s="17" t="s">
        <v>180</v>
      </c>
      <c r="D20" s="18"/>
      <c r="E20" s="18" t="str">
        <f t="shared" si="0"/>
        <v/>
      </c>
      <c r="F20" s="18">
        <v>110</v>
      </c>
      <c r="G20" s="18">
        <f t="shared" si="1"/>
        <v>330</v>
      </c>
    </row>
    <row r="21" spans="1:7" x14ac:dyDescent="0.25">
      <c r="A21" s="15">
        <v>17</v>
      </c>
      <c r="B21" s="16"/>
      <c r="C21" s="17" t="s">
        <v>181</v>
      </c>
      <c r="D21" s="18"/>
      <c r="E21" s="18" t="str">
        <f t="shared" si="0"/>
        <v/>
      </c>
      <c r="F21" s="18">
        <v>100</v>
      </c>
      <c r="G21" s="18">
        <f t="shared" si="1"/>
        <v>1700</v>
      </c>
    </row>
    <row r="22" spans="1:7" x14ac:dyDescent="0.25">
      <c r="A22" s="15">
        <v>5</v>
      </c>
      <c r="B22" s="16"/>
      <c r="C22" s="17" t="s">
        <v>182</v>
      </c>
      <c r="D22" s="18"/>
      <c r="E22" s="18" t="str">
        <f t="shared" si="0"/>
        <v/>
      </c>
      <c r="F22" s="18">
        <v>155</v>
      </c>
      <c r="G22" s="18">
        <f t="shared" si="1"/>
        <v>775</v>
      </c>
    </row>
    <row r="23" spans="1:7" x14ac:dyDescent="0.25">
      <c r="A23" s="15">
        <v>1</v>
      </c>
      <c r="B23" s="16"/>
      <c r="C23" s="17" t="s">
        <v>183</v>
      </c>
      <c r="D23" s="18"/>
      <c r="E23" s="18" t="str">
        <f t="shared" si="0"/>
        <v/>
      </c>
      <c r="F23" s="18">
        <v>195</v>
      </c>
      <c r="G23" s="18">
        <f t="shared" si="1"/>
        <v>195</v>
      </c>
    </row>
    <row r="24" spans="1:7" x14ac:dyDescent="0.25">
      <c r="A24" s="15">
        <v>1</v>
      </c>
      <c r="B24" s="16"/>
      <c r="C24" s="17" t="s">
        <v>184</v>
      </c>
      <c r="D24" s="18"/>
      <c r="E24" s="18" t="str">
        <f t="shared" si="0"/>
        <v/>
      </c>
      <c r="F24" s="18">
        <v>180</v>
      </c>
      <c r="G24" s="18">
        <f t="shared" si="1"/>
        <v>180</v>
      </c>
    </row>
    <row r="25" spans="1:7" x14ac:dyDescent="0.25">
      <c r="A25" s="15">
        <v>1</v>
      </c>
      <c r="B25" s="16"/>
      <c r="C25" s="17" t="s">
        <v>185</v>
      </c>
      <c r="D25" s="18"/>
      <c r="E25" s="18" t="str">
        <f t="shared" si="0"/>
        <v/>
      </c>
      <c r="F25" s="18">
        <v>135</v>
      </c>
      <c r="G25" s="18">
        <f t="shared" si="1"/>
        <v>135</v>
      </c>
    </row>
    <row r="26" spans="1:7" x14ac:dyDescent="0.25">
      <c r="A26" s="15">
        <v>1</v>
      </c>
      <c r="B26" s="16"/>
      <c r="C26" s="17" t="s">
        <v>186</v>
      </c>
      <c r="D26" s="18"/>
      <c r="E26" s="18" t="str">
        <f t="shared" si="0"/>
        <v/>
      </c>
      <c r="F26" s="18">
        <v>345</v>
      </c>
      <c r="G26" s="18">
        <f t="shared" si="1"/>
        <v>345</v>
      </c>
    </row>
    <row r="27" spans="1:7" x14ac:dyDescent="0.25">
      <c r="A27" s="15">
        <v>12</v>
      </c>
      <c r="B27" s="16"/>
      <c r="C27" s="17" t="s">
        <v>187</v>
      </c>
      <c r="D27" s="18"/>
      <c r="E27" s="18" t="str">
        <f t="shared" si="0"/>
        <v/>
      </c>
      <c r="F27" s="18">
        <v>155</v>
      </c>
      <c r="G27" s="18">
        <f t="shared" si="1"/>
        <v>1860</v>
      </c>
    </row>
    <row r="28" spans="1:7" x14ac:dyDescent="0.25">
      <c r="A28" s="15">
        <v>3</v>
      </c>
      <c r="B28" s="16"/>
      <c r="C28" s="17" t="s">
        <v>188</v>
      </c>
      <c r="D28" s="18"/>
      <c r="E28" s="18" t="str">
        <f t="shared" si="0"/>
        <v/>
      </c>
      <c r="F28" s="18">
        <v>75</v>
      </c>
      <c r="G28" s="18">
        <f t="shared" si="1"/>
        <v>225</v>
      </c>
    </row>
    <row r="29" spans="1:7" x14ac:dyDescent="0.25">
      <c r="A29" s="15">
        <v>15</v>
      </c>
      <c r="B29" s="16"/>
      <c r="C29" s="17" t="s">
        <v>189</v>
      </c>
      <c r="D29" s="18"/>
      <c r="E29" s="18" t="str">
        <f t="shared" si="0"/>
        <v/>
      </c>
      <c r="F29" s="18">
        <v>42</v>
      </c>
      <c r="G29" s="18">
        <f t="shared" si="1"/>
        <v>630</v>
      </c>
    </row>
    <row r="30" spans="1:7" x14ac:dyDescent="0.25">
      <c r="A30" s="15">
        <v>8</v>
      </c>
      <c r="B30" s="16"/>
      <c r="C30" s="17" t="s">
        <v>190</v>
      </c>
      <c r="D30" s="18"/>
      <c r="E30" s="18" t="str">
        <f t="shared" si="0"/>
        <v/>
      </c>
      <c r="F30" s="18">
        <v>60</v>
      </c>
      <c r="G30" s="18">
        <f t="shared" si="1"/>
        <v>480</v>
      </c>
    </row>
    <row r="31" spans="1:7" x14ac:dyDescent="0.25">
      <c r="A31" s="15">
        <v>12</v>
      </c>
      <c r="B31" s="16"/>
      <c r="C31" s="17" t="s">
        <v>191</v>
      </c>
      <c r="D31" s="18"/>
      <c r="E31" s="18" t="str">
        <f t="shared" si="0"/>
        <v/>
      </c>
      <c r="F31" s="18">
        <v>85</v>
      </c>
      <c r="G31" s="18">
        <f t="shared" si="1"/>
        <v>1020</v>
      </c>
    </row>
    <row r="32" spans="1:7" x14ac:dyDescent="0.25">
      <c r="A32" s="15">
        <v>5</v>
      </c>
      <c r="B32" s="16"/>
      <c r="C32" s="17" t="s">
        <v>192</v>
      </c>
      <c r="D32" s="18"/>
      <c r="E32" s="18" t="str">
        <f t="shared" si="0"/>
        <v/>
      </c>
      <c r="F32" s="18">
        <v>40</v>
      </c>
      <c r="G32" s="18">
        <f t="shared" si="1"/>
        <v>200</v>
      </c>
    </row>
    <row r="33" spans="1:7" x14ac:dyDescent="0.25">
      <c r="A33" s="15">
        <v>10</v>
      </c>
      <c r="B33" s="16"/>
      <c r="C33" s="17" t="s">
        <v>193</v>
      </c>
      <c r="D33" s="18"/>
      <c r="E33" s="18" t="str">
        <f t="shared" si="0"/>
        <v/>
      </c>
      <c r="F33" s="18">
        <v>100</v>
      </c>
      <c r="G33" s="18">
        <f t="shared" si="1"/>
        <v>1000</v>
      </c>
    </row>
    <row r="34" spans="1:7" x14ac:dyDescent="0.25">
      <c r="A34" s="15">
        <v>12</v>
      </c>
      <c r="B34" s="16"/>
      <c r="C34" s="17" t="s">
        <v>194</v>
      </c>
      <c r="D34" s="18"/>
      <c r="E34" s="18" t="str">
        <f t="shared" si="0"/>
        <v/>
      </c>
      <c r="F34" s="18">
        <v>75</v>
      </c>
      <c r="G34" s="18">
        <f t="shared" si="1"/>
        <v>900</v>
      </c>
    </row>
    <row r="35" spans="1:7" x14ac:dyDescent="0.25">
      <c r="C35" s="10" t="s">
        <v>167</v>
      </c>
      <c r="E35" s="11">
        <f>SUM(E8:E34)</f>
        <v>0</v>
      </c>
      <c r="G35" s="11">
        <f>SUM(G8:G34)</f>
        <v>17590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10</v>
      </c>
      <c r="G5" s="6" t="s">
        <v>15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2</v>
      </c>
      <c r="B8" s="16"/>
      <c r="C8" s="17" t="s">
        <v>195</v>
      </c>
      <c r="D8" s="18"/>
      <c r="E8" s="18" t="str">
        <f t="shared" ref="E8:E16" si="0">IF(ISNUMBER(D8), A8*D8, "")</f>
        <v/>
      </c>
      <c r="F8" s="18">
        <v>800</v>
      </c>
      <c r="G8" s="18">
        <f t="shared" ref="G8:G16" si="1">A8*F8</f>
        <v>1600</v>
      </c>
    </row>
    <row r="9" spans="1:7" x14ac:dyDescent="0.25">
      <c r="A9" s="15">
        <v>5</v>
      </c>
      <c r="B9" s="16"/>
      <c r="C9" s="17" t="s">
        <v>196</v>
      </c>
      <c r="D9" s="18"/>
      <c r="E9" s="18" t="str">
        <f t="shared" si="0"/>
        <v/>
      </c>
      <c r="F9" s="18">
        <v>165</v>
      </c>
      <c r="G9" s="18">
        <f t="shared" si="1"/>
        <v>825</v>
      </c>
    </row>
    <row r="10" spans="1:7" x14ac:dyDescent="0.25">
      <c r="A10" s="15">
        <v>1</v>
      </c>
      <c r="B10" s="16"/>
      <c r="C10" s="17" t="s">
        <v>197</v>
      </c>
      <c r="D10" s="18"/>
      <c r="E10" s="18" t="str">
        <f t="shared" si="0"/>
        <v/>
      </c>
      <c r="F10" s="18">
        <v>230</v>
      </c>
      <c r="G10" s="18">
        <f t="shared" si="1"/>
        <v>230</v>
      </c>
    </row>
    <row r="11" spans="1:7" x14ac:dyDescent="0.25">
      <c r="A11" s="15">
        <v>1</v>
      </c>
      <c r="B11" s="16"/>
      <c r="C11" s="17" t="s">
        <v>198</v>
      </c>
      <c r="D11" s="18"/>
      <c r="E11" s="18" t="str">
        <f t="shared" si="0"/>
        <v/>
      </c>
      <c r="F11" s="18">
        <v>105</v>
      </c>
      <c r="G11" s="18">
        <f t="shared" si="1"/>
        <v>105</v>
      </c>
    </row>
    <row r="12" spans="1:7" x14ac:dyDescent="0.25">
      <c r="A12" s="15">
        <v>2</v>
      </c>
      <c r="B12" s="16"/>
      <c r="C12" s="17" t="s">
        <v>199</v>
      </c>
      <c r="D12" s="18"/>
      <c r="E12" s="18" t="str">
        <f t="shared" si="0"/>
        <v/>
      </c>
      <c r="F12" s="18">
        <v>45</v>
      </c>
      <c r="G12" s="18">
        <f t="shared" si="1"/>
        <v>90</v>
      </c>
    </row>
    <row r="13" spans="1:7" x14ac:dyDescent="0.25">
      <c r="A13" s="15">
        <v>3</v>
      </c>
      <c r="B13" s="16"/>
      <c r="C13" s="17" t="s">
        <v>200</v>
      </c>
      <c r="D13" s="18"/>
      <c r="E13" s="18" t="str">
        <f t="shared" si="0"/>
        <v/>
      </c>
      <c r="F13" s="18">
        <v>300</v>
      </c>
      <c r="G13" s="18">
        <f t="shared" si="1"/>
        <v>900</v>
      </c>
    </row>
    <row r="14" spans="1:7" x14ac:dyDescent="0.25">
      <c r="A14" s="15">
        <v>24</v>
      </c>
      <c r="B14" s="16"/>
      <c r="C14" s="17" t="s">
        <v>201</v>
      </c>
      <c r="D14" s="18"/>
      <c r="E14" s="18" t="str">
        <f t="shared" si="0"/>
        <v/>
      </c>
      <c r="F14" s="18">
        <v>20</v>
      </c>
      <c r="G14" s="18">
        <f t="shared" si="1"/>
        <v>480</v>
      </c>
    </row>
    <row r="15" spans="1:7" x14ac:dyDescent="0.25">
      <c r="A15" s="15">
        <v>36</v>
      </c>
      <c r="B15" s="16"/>
      <c r="C15" s="17" t="s">
        <v>202</v>
      </c>
      <c r="D15" s="18"/>
      <c r="E15" s="18" t="str">
        <f t="shared" si="0"/>
        <v/>
      </c>
      <c r="F15" s="18">
        <v>25</v>
      </c>
      <c r="G15" s="18">
        <f t="shared" si="1"/>
        <v>900</v>
      </c>
    </row>
    <row r="16" spans="1:7" x14ac:dyDescent="0.25">
      <c r="A16" s="15">
        <v>96</v>
      </c>
      <c r="B16" s="16"/>
      <c r="C16" s="17" t="s">
        <v>203</v>
      </c>
      <c r="D16" s="18"/>
      <c r="E16" s="18" t="str">
        <f t="shared" si="0"/>
        <v/>
      </c>
      <c r="F16" s="18">
        <v>15</v>
      </c>
      <c r="G16" s="18">
        <f t="shared" si="1"/>
        <v>1440</v>
      </c>
    </row>
    <row r="17" spans="3:7" x14ac:dyDescent="0.25">
      <c r="C17" s="10" t="s">
        <v>167</v>
      </c>
      <c r="E17" s="11">
        <f>SUM(E8:E16)</f>
        <v>0</v>
      </c>
      <c r="G17" s="11">
        <f>SUM(G8:G16)</f>
        <v>6570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10</v>
      </c>
      <c r="G5" s="6" t="s">
        <v>17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3</v>
      </c>
      <c r="B8" s="16"/>
      <c r="C8" s="17" t="s">
        <v>204</v>
      </c>
      <c r="D8" s="18"/>
      <c r="E8" s="18" t="str">
        <f t="shared" ref="E8:E18" si="0">IF(ISNUMBER(D8), A8*D8, "")</f>
        <v/>
      </c>
      <c r="F8" s="18">
        <v>485</v>
      </c>
      <c r="G8" s="18">
        <f t="shared" ref="G8:G18" si="1">A8*F8</f>
        <v>1455</v>
      </c>
    </row>
    <row r="9" spans="1:7" x14ac:dyDescent="0.25">
      <c r="A9" s="15">
        <v>4</v>
      </c>
      <c r="B9" s="16"/>
      <c r="C9" s="17" t="s">
        <v>205</v>
      </c>
      <c r="D9" s="18"/>
      <c r="E9" s="18" t="str">
        <f t="shared" si="0"/>
        <v/>
      </c>
      <c r="F9" s="18">
        <v>370</v>
      </c>
      <c r="G9" s="18">
        <f t="shared" si="1"/>
        <v>1480</v>
      </c>
    </row>
    <row r="10" spans="1:7" x14ac:dyDescent="0.25">
      <c r="A10" s="15">
        <v>13</v>
      </c>
      <c r="B10" s="16"/>
      <c r="C10" s="17" t="s">
        <v>206</v>
      </c>
      <c r="D10" s="18"/>
      <c r="E10" s="18" t="str">
        <f t="shared" si="0"/>
        <v/>
      </c>
      <c r="F10" s="18">
        <v>145</v>
      </c>
      <c r="G10" s="18">
        <f t="shared" si="1"/>
        <v>1885</v>
      </c>
    </row>
    <row r="11" spans="1:7" x14ac:dyDescent="0.25">
      <c r="A11" s="15">
        <v>1</v>
      </c>
      <c r="B11" s="16"/>
      <c r="C11" s="17" t="s">
        <v>207</v>
      </c>
      <c r="D11" s="18"/>
      <c r="E11" s="18" t="str">
        <f t="shared" si="0"/>
        <v/>
      </c>
      <c r="F11" s="18">
        <v>85</v>
      </c>
      <c r="G11" s="18">
        <f t="shared" si="1"/>
        <v>85</v>
      </c>
    </row>
    <row r="12" spans="1:7" x14ac:dyDescent="0.25">
      <c r="A12" s="15">
        <v>12</v>
      </c>
      <c r="B12" s="16"/>
      <c r="C12" s="17" t="s">
        <v>208</v>
      </c>
      <c r="D12" s="18"/>
      <c r="E12" s="18" t="str">
        <f t="shared" si="0"/>
        <v/>
      </c>
      <c r="F12" s="18">
        <v>425</v>
      </c>
      <c r="G12" s="18">
        <f t="shared" si="1"/>
        <v>5100</v>
      </c>
    </row>
    <row r="13" spans="1:7" x14ac:dyDescent="0.25">
      <c r="A13" s="15">
        <v>1</v>
      </c>
      <c r="B13" s="16"/>
      <c r="C13" s="17" t="s">
        <v>209</v>
      </c>
      <c r="D13" s="18"/>
      <c r="E13" s="18" t="str">
        <f t="shared" si="0"/>
        <v/>
      </c>
      <c r="F13" s="18">
        <v>285</v>
      </c>
      <c r="G13" s="18">
        <f t="shared" si="1"/>
        <v>285</v>
      </c>
    </row>
    <row r="14" spans="1:7" x14ac:dyDescent="0.25">
      <c r="A14" s="15">
        <v>1</v>
      </c>
      <c r="B14" s="16"/>
      <c r="C14" s="17" t="s">
        <v>210</v>
      </c>
      <c r="D14" s="18"/>
      <c r="E14" s="18" t="str">
        <f t="shared" si="0"/>
        <v/>
      </c>
      <c r="F14" s="18">
        <v>570</v>
      </c>
      <c r="G14" s="18">
        <f t="shared" si="1"/>
        <v>570</v>
      </c>
    </row>
    <row r="15" spans="1:7" x14ac:dyDescent="0.25">
      <c r="A15" s="15">
        <v>1</v>
      </c>
      <c r="B15" s="16"/>
      <c r="C15" s="17" t="s">
        <v>211</v>
      </c>
      <c r="D15" s="18"/>
      <c r="E15" s="18" t="str">
        <f t="shared" si="0"/>
        <v/>
      </c>
      <c r="F15" s="18">
        <v>0</v>
      </c>
      <c r="G15" s="18">
        <f t="shared" si="1"/>
        <v>0</v>
      </c>
    </row>
    <row r="16" spans="1:7" x14ac:dyDescent="0.25">
      <c r="A16" s="15">
        <v>2</v>
      </c>
      <c r="B16" s="16"/>
      <c r="C16" s="17" t="s">
        <v>212</v>
      </c>
      <c r="D16" s="18"/>
      <c r="E16" s="18" t="str">
        <f t="shared" si="0"/>
        <v/>
      </c>
      <c r="F16" s="18"/>
      <c r="G16" s="18">
        <f t="shared" si="1"/>
        <v>0</v>
      </c>
    </row>
    <row r="17" spans="1:7" x14ac:dyDescent="0.25">
      <c r="A17" s="15">
        <v>7</v>
      </c>
      <c r="B17" s="16"/>
      <c r="C17" s="17" t="s">
        <v>213</v>
      </c>
      <c r="D17" s="18"/>
      <c r="E17" s="18" t="str">
        <f t="shared" si="0"/>
        <v/>
      </c>
      <c r="F17" s="18">
        <v>210</v>
      </c>
      <c r="G17" s="18">
        <f t="shared" si="1"/>
        <v>1470</v>
      </c>
    </row>
    <row r="18" spans="1:7" x14ac:dyDescent="0.25">
      <c r="A18" s="15">
        <v>1</v>
      </c>
      <c r="B18" s="16"/>
      <c r="C18" s="17" t="s">
        <v>214</v>
      </c>
      <c r="D18" s="18"/>
      <c r="E18" s="18" t="str">
        <f t="shared" si="0"/>
        <v/>
      </c>
      <c r="F18" s="18">
        <v>45</v>
      </c>
      <c r="G18" s="18">
        <f t="shared" si="1"/>
        <v>45</v>
      </c>
    </row>
    <row r="19" spans="1:7" x14ac:dyDescent="0.25">
      <c r="C19" s="10" t="s">
        <v>167</v>
      </c>
      <c r="E19" s="11">
        <f>SUM(E8:E18)</f>
        <v>0</v>
      </c>
      <c r="G19" s="11">
        <f>SUM(G8:G18)</f>
        <v>12375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workbookViewId="0">
      <selection activeCell="G27" sqref="G27"/>
    </sheetView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10</v>
      </c>
      <c r="G5" s="6" t="s">
        <v>19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11</v>
      </c>
      <c r="B8" s="16"/>
      <c r="C8" s="17" t="s">
        <v>215</v>
      </c>
      <c r="D8" s="18"/>
      <c r="E8" s="18" t="str">
        <f t="shared" ref="E8:E18" si="0">IF(ISNUMBER(D8), A8*D8, "")</f>
        <v/>
      </c>
      <c r="F8" s="18">
        <v>35</v>
      </c>
      <c r="G8" s="18">
        <f t="shared" ref="G8:G18" si="1">A8*F8</f>
        <v>385</v>
      </c>
    </row>
    <row r="9" spans="1:7" x14ac:dyDescent="0.25">
      <c r="A9" s="15">
        <v>10</v>
      </c>
      <c r="B9" s="16"/>
      <c r="C9" s="17" t="s">
        <v>216</v>
      </c>
      <c r="D9" s="18"/>
      <c r="E9" s="18" t="str">
        <f t="shared" si="0"/>
        <v/>
      </c>
      <c r="F9" s="18">
        <v>45</v>
      </c>
      <c r="G9" s="18">
        <f t="shared" si="1"/>
        <v>450</v>
      </c>
    </row>
    <row r="10" spans="1:7" x14ac:dyDescent="0.25">
      <c r="A10" s="15">
        <v>4</v>
      </c>
      <c r="B10" s="16"/>
      <c r="C10" s="17" t="s">
        <v>217</v>
      </c>
      <c r="D10" s="18"/>
      <c r="E10" s="18" t="str">
        <f t="shared" si="0"/>
        <v/>
      </c>
      <c r="F10" s="18">
        <v>30</v>
      </c>
      <c r="G10" s="18">
        <f t="shared" si="1"/>
        <v>120</v>
      </c>
    </row>
    <row r="11" spans="1:7" x14ac:dyDescent="0.25">
      <c r="A11" s="15">
        <v>6</v>
      </c>
      <c r="B11" s="16"/>
      <c r="C11" s="17" t="s">
        <v>218</v>
      </c>
      <c r="D11" s="18"/>
      <c r="E11" s="18" t="str">
        <f t="shared" si="0"/>
        <v/>
      </c>
      <c r="F11" s="18">
        <v>30</v>
      </c>
      <c r="G11" s="18">
        <f t="shared" si="1"/>
        <v>180</v>
      </c>
    </row>
    <row r="12" spans="1:7" x14ac:dyDescent="0.25">
      <c r="A12" s="15">
        <v>3</v>
      </c>
      <c r="B12" s="16"/>
      <c r="C12" s="17" t="s">
        <v>219</v>
      </c>
      <c r="D12" s="18"/>
      <c r="E12" s="18" t="str">
        <f t="shared" si="0"/>
        <v/>
      </c>
      <c r="F12" s="18">
        <v>30</v>
      </c>
      <c r="G12" s="18">
        <f t="shared" si="1"/>
        <v>90</v>
      </c>
    </row>
    <row r="13" spans="1:7" x14ac:dyDescent="0.25">
      <c r="A13" s="15">
        <v>1</v>
      </c>
      <c r="B13" s="16"/>
      <c r="C13" s="17" t="s">
        <v>220</v>
      </c>
      <c r="D13" s="18"/>
      <c r="E13" s="18" t="str">
        <f t="shared" si="0"/>
        <v/>
      </c>
      <c r="F13" s="18">
        <v>30</v>
      </c>
      <c r="G13" s="18">
        <f t="shared" si="1"/>
        <v>30</v>
      </c>
    </row>
    <row r="14" spans="1:7" x14ac:dyDescent="0.25">
      <c r="A14" s="15">
        <v>2</v>
      </c>
      <c r="B14" s="16"/>
      <c r="C14" s="17" t="s">
        <v>221</v>
      </c>
      <c r="D14" s="18"/>
      <c r="E14" s="18" t="str">
        <f t="shared" si="0"/>
        <v/>
      </c>
      <c r="F14" s="18">
        <v>140</v>
      </c>
      <c r="G14" s="18">
        <f t="shared" si="1"/>
        <v>280</v>
      </c>
    </row>
    <row r="15" spans="1:7" x14ac:dyDescent="0.25">
      <c r="A15" s="15">
        <v>2</v>
      </c>
      <c r="B15" s="16"/>
      <c r="C15" s="17" t="s">
        <v>222</v>
      </c>
      <c r="D15" s="18"/>
      <c r="E15" s="18" t="str">
        <f t="shared" si="0"/>
        <v/>
      </c>
      <c r="F15" s="18">
        <v>85</v>
      </c>
      <c r="G15" s="18">
        <f t="shared" si="1"/>
        <v>170</v>
      </c>
    </row>
    <row r="16" spans="1:7" x14ac:dyDescent="0.25">
      <c r="A16" s="15">
        <v>2</v>
      </c>
      <c r="B16" s="16"/>
      <c r="C16" s="17" t="s">
        <v>223</v>
      </c>
      <c r="D16" s="18"/>
      <c r="E16" s="18" t="str">
        <f t="shared" si="0"/>
        <v/>
      </c>
      <c r="F16" s="18">
        <v>120</v>
      </c>
      <c r="G16" s="18">
        <f t="shared" si="1"/>
        <v>240</v>
      </c>
    </row>
    <row r="17" spans="1:7" x14ac:dyDescent="0.25">
      <c r="A17" s="15">
        <v>6</v>
      </c>
      <c r="B17" s="16"/>
      <c r="C17" s="17" t="s">
        <v>224</v>
      </c>
      <c r="D17" s="18"/>
      <c r="E17" s="18" t="str">
        <f t="shared" si="0"/>
        <v/>
      </c>
      <c r="F17" s="18">
        <v>75</v>
      </c>
      <c r="G17" s="18">
        <f t="shared" si="1"/>
        <v>450</v>
      </c>
    </row>
    <row r="18" spans="1:7" x14ac:dyDescent="0.25">
      <c r="A18" s="15">
        <v>3</v>
      </c>
      <c r="B18" s="16"/>
      <c r="C18" s="17" t="s">
        <v>225</v>
      </c>
      <c r="D18" s="18"/>
      <c r="E18" s="18" t="str">
        <f t="shared" si="0"/>
        <v/>
      </c>
      <c r="F18" s="18">
        <v>65</v>
      </c>
      <c r="G18" s="18">
        <f t="shared" si="1"/>
        <v>195</v>
      </c>
    </row>
    <row r="19" spans="1:7" x14ac:dyDescent="0.25">
      <c r="C19" s="10" t="s">
        <v>167</v>
      </c>
      <c r="E19" s="11">
        <f>SUM(E8:E18)</f>
        <v>0</v>
      </c>
      <c r="G19" s="11">
        <f>SUM(G8:G18)</f>
        <v>2590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22</v>
      </c>
      <c r="G5" s="6" t="s">
        <v>21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40</v>
      </c>
      <c r="B8" s="16"/>
      <c r="C8" s="17" t="s">
        <v>226</v>
      </c>
      <c r="D8" s="18"/>
      <c r="E8" s="18" t="str">
        <f t="shared" ref="E8:E22" si="0">IF(ISNUMBER(D8), A8*D8, "")</f>
        <v/>
      </c>
      <c r="F8" s="18">
        <v>65</v>
      </c>
      <c r="G8" s="18">
        <f t="shared" ref="G8:G22" si="1">A8*F8</f>
        <v>2600</v>
      </c>
    </row>
    <row r="9" spans="1:7" x14ac:dyDescent="0.25">
      <c r="A9" s="15">
        <v>37</v>
      </c>
      <c r="B9" s="16"/>
      <c r="C9" s="17" t="s">
        <v>227</v>
      </c>
      <c r="D9" s="18"/>
      <c r="E9" s="18" t="str">
        <f t="shared" si="0"/>
        <v/>
      </c>
      <c r="F9" s="18">
        <v>35</v>
      </c>
      <c r="G9" s="18">
        <f t="shared" si="1"/>
        <v>1295</v>
      </c>
    </row>
    <row r="10" spans="1:7" x14ac:dyDescent="0.25">
      <c r="A10" s="15">
        <v>11</v>
      </c>
      <c r="B10" s="16"/>
      <c r="C10" s="17" t="s">
        <v>228</v>
      </c>
      <c r="D10" s="18"/>
      <c r="E10" s="18" t="str">
        <f t="shared" si="0"/>
        <v/>
      </c>
      <c r="F10" s="18">
        <v>15</v>
      </c>
      <c r="G10" s="18">
        <f t="shared" si="1"/>
        <v>165</v>
      </c>
    </row>
    <row r="11" spans="1:7" x14ac:dyDescent="0.25">
      <c r="A11" s="15">
        <v>41</v>
      </c>
      <c r="B11" s="16"/>
      <c r="C11" s="17" t="s">
        <v>229</v>
      </c>
      <c r="D11" s="18"/>
      <c r="E11" s="18" t="str">
        <f t="shared" si="0"/>
        <v/>
      </c>
      <c r="F11" s="18">
        <v>10</v>
      </c>
      <c r="G11" s="18">
        <f t="shared" si="1"/>
        <v>410</v>
      </c>
    </row>
    <row r="12" spans="1:7" x14ac:dyDescent="0.25">
      <c r="A12" s="15">
        <v>58</v>
      </c>
      <c r="B12" s="16"/>
      <c r="C12" s="17" t="s">
        <v>230</v>
      </c>
      <c r="D12" s="18"/>
      <c r="E12" s="18" t="str">
        <f t="shared" si="0"/>
        <v/>
      </c>
      <c r="F12" s="18">
        <v>15</v>
      </c>
      <c r="G12" s="18">
        <f t="shared" si="1"/>
        <v>870</v>
      </c>
    </row>
    <row r="13" spans="1:7" x14ac:dyDescent="0.25">
      <c r="A13" s="15">
        <v>64</v>
      </c>
      <c r="B13" s="16"/>
      <c r="C13" s="17" t="s">
        <v>231</v>
      </c>
      <c r="D13" s="18"/>
      <c r="E13" s="18" t="str">
        <f t="shared" si="0"/>
        <v/>
      </c>
      <c r="F13" s="18">
        <v>15</v>
      </c>
      <c r="G13" s="18">
        <f t="shared" si="1"/>
        <v>960</v>
      </c>
    </row>
    <row r="14" spans="1:7" x14ac:dyDescent="0.25">
      <c r="A14" s="15">
        <v>62</v>
      </c>
      <c r="B14" s="16"/>
      <c r="C14" s="17" t="s">
        <v>232</v>
      </c>
      <c r="D14" s="18"/>
      <c r="E14" s="18" t="str">
        <f t="shared" si="0"/>
        <v/>
      </c>
      <c r="F14" s="18">
        <v>10</v>
      </c>
      <c r="G14" s="18">
        <f t="shared" si="1"/>
        <v>620</v>
      </c>
    </row>
    <row r="15" spans="1:7" x14ac:dyDescent="0.25">
      <c r="A15" s="15">
        <v>64</v>
      </c>
      <c r="B15" s="16"/>
      <c r="C15" s="17" t="s">
        <v>233</v>
      </c>
      <c r="D15" s="18"/>
      <c r="E15" s="18" t="str">
        <f t="shared" si="0"/>
        <v/>
      </c>
      <c r="F15" s="18">
        <v>10</v>
      </c>
      <c r="G15" s="18">
        <f t="shared" si="1"/>
        <v>640</v>
      </c>
    </row>
    <row r="16" spans="1:7" x14ac:dyDescent="0.25">
      <c r="A16" s="15">
        <v>4</v>
      </c>
      <c r="B16" s="16"/>
      <c r="C16" s="17" t="s">
        <v>234</v>
      </c>
      <c r="D16" s="18"/>
      <c r="E16" s="18" t="str">
        <f t="shared" si="0"/>
        <v/>
      </c>
      <c r="F16" s="18">
        <v>10</v>
      </c>
      <c r="G16" s="18">
        <f t="shared" si="1"/>
        <v>40</v>
      </c>
    </row>
    <row r="17" spans="1:7" x14ac:dyDescent="0.25">
      <c r="A17" s="15">
        <v>96</v>
      </c>
      <c r="B17" s="16"/>
      <c r="C17" s="17" t="s">
        <v>235</v>
      </c>
      <c r="D17" s="18"/>
      <c r="E17" s="18" t="str">
        <f t="shared" si="0"/>
        <v/>
      </c>
      <c r="F17" s="18">
        <v>25</v>
      </c>
      <c r="G17" s="18">
        <f t="shared" si="1"/>
        <v>2400</v>
      </c>
    </row>
    <row r="18" spans="1:7" x14ac:dyDescent="0.25">
      <c r="A18" s="15">
        <v>114</v>
      </c>
      <c r="B18" s="16"/>
      <c r="C18" s="17" t="s">
        <v>236</v>
      </c>
      <c r="D18" s="18"/>
      <c r="E18" s="18" t="str">
        <f t="shared" si="0"/>
        <v/>
      </c>
      <c r="F18" s="18">
        <v>15</v>
      </c>
      <c r="G18" s="18">
        <f t="shared" si="1"/>
        <v>1710</v>
      </c>
    </row>
    <row r="19" spans="1:7" x14ac:dyDescent="0.25">
      <c r="A19" s="15">
        <v>3</v>
      </c>
      <c r="B19" s="16"/>
      <c r="C19" s="17" t="s">
        <v>237</v>
      </c>
      <c r="D19" s="18"/>
      <c r="E19" s="18" t="str">
        <f t="shared" si="0"/>
        <v/>
      </c>
      <c r="F19" s="18">
        <v>35</v>
      </c>
      <c r="G19" s="18">
        <f t="shared" si="1"/>
        <v>105</v>
      </c>
    </row>
    <row r="20" spans="1:7" x14ac:dyDescent="0.25">
      <c r="A20" s="15">
        <v>56</v>
      </c>
      <c r="B20" s="16"/>
      <c r="C20" s="17" t="s">
        <v>238</v>
      </c>
      <c r="D20" s="18"/>
      <c r="E20" s="18" t="str">
        <f t="shared" si="0"/>
        <v/>
      </c>
      <c r="F20" s="18">
        <v>60</v>
      </c>
      <c r="G20" s="18">
        <f t="shared" si="1"/>
        <v>3360</v>
      </c>
    </row>
    <row r="21" spans="1:7" x14ac:dyDescent="0.25">
      <c r="A21" s="15">
        <v>48</v>
      </c>
      <c r="B21" s="16"/>
      <c r="C21" s="17" t="s">
        <v>239</v>
      </c>
      <c r="D21" s="18"/>
      <c r="E21" s="18" t="str">
        <f t="shared" si="0"/>
        <v/>
      </c>
      <c r="F21" s="18">
        <v>20</v>
      </c>
      <c r="G21" s="18">
        <f t="shared" si="1"/>
        <v>960</v>
      </c>
    </row>
    <row r="22" spans="1:7" x14ac:dyDescent="0.25">
      <c r="A22" s="15">
        <v>7</v>
      </c>
      <c r="B22" s="16"/>
      <c r="C22" s="17" t="s">
        <v>240</v>
      </c>
      <c r="D22" s="18"/>
      <c r="E22" s="18" t="str">
        <f t="shared" si="0"/>
        <v/>
      </c>
      <c r="F22" s="18">
        <v>25</v>
      </c>
      <c r="G22" s="18">
        <f t="shared" si="1"/>
        <v>175</v>
      </c>
    </row>
    <row r="23" spans="1:7" x14ac:dyDescent="0.25">
      <c r="C23" s="10" t="s">
        <v>167</v>
      </c>
      <c r="E23" s="11">
        <f>SUM(E8:E22)</f>
        <v>0</v>
      </c>
      <c r="G23" s="11">
        <f>SUM(G8:G22)</f>
        <v>16310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3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22</v>
      </c>
      <c r="G5" s="6" t="s">
        <v>24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37</v>
      </c>
      <c r="B8" s="16"/>
      <c r="C8" s="17" t="s">
        <v>241</v>
      </c>
      <c r="D8" s="18"/>
      <c r="E8" s="18" t="str">
        <f t="shared" ref="E8:E32" si="0">IF(ISNUMBER(D8), A8*D8, "")</f>
        <v/>
      </c>
      <c r="F8" s="18">
        <v>50</v>
      </c>
      <c r="G8" s="18">
        <f t="shared" ref="G8:G32" si="1">A8*F8</f>
        <v>1850</v>
      </c>
    </row>
    <row r="9" spans="1:7" x14ac:dyDescent="0.25">
      <c r="A9" s="15">
        <v>32</v>
      </c>
      <c r="B9" s="16"/>
      <c r="C9" s="17" t="s">
        <v>242</v>
      </c>
      <c r="D9" s="18"/>
      <c r="E9" s="18" t="str">
        <f t="shared" si="0"/>
        <v/>
      </c>
      <c r="F9" s="18">
        <v>45</v>
      </c>
      <c r="G9" s="18">
        <f t="shared" si="1"/>
        <v>1440</v>
      </c>
    </row>
    <row r="10" spans="1:7" x14ac:dyDescent="0.25">
      <c r="A10" s="15">
        <v>30</v>
      </c>
      <c r="B10" s="16"/>
      <c r="C10" s="17" t="s">
        <v>190</v>
      </c>
      <c r="D10" s="18"/>
      <c r="E10" s="18" t="str">
        <f t="shared" si="0"/>
        <v/>
      </c>
      <c r="F10" s="18">
        <v>60</v>
      </c>
      <c r="G10" s="18">
        <f t="shared" si="1"/>
        <v>1800</v>
      </c>
    </row>
    <row r="11" spans="1:7" x14ac:dyDescent="0.25">
      <c r="A11" s="15">
        <v>3</v>
      </c>
      <c r="B11" s="16"/>
      <c r="C11" s="17" t="s">
        <v>243</v>
      </c>
      <c r="D11" s="18"/>
      <c r="E11" s="18" t="str">
        <f t="shared" si="0"/>
        <v/>
      </c>
      <c r="F11" s="18">
        <v>60</v>
      </c>
      <c r="G11" s="18">
        <f t="shared" si="1"/>
        <v>180</v>
      </c>
    </row>
    <row r="12" spans="1:7" x14ac:dyDescent="0.25">
      <c r="A12" s="15">
        <v>31</v>
      </c>
      <c r="B12" s="16"/>
      <c r="C12" s="17" t="s">
        <v>189</v>
      </c>
      <c r="D12" s="18"/>
      <c r="E12" s="18" t="str">
        <f t="shared" si="0"/>
        <v/>
      </c>
      <c r="F12" s="18">
        <v>42</v>
      </c>
      <c r="G12" s="18">
        <f t="shared" si="1"/>
        <v>1302</v>
      </c>
    </row>
    <row r="13" spans="1:7" x14ac:dyDescent="0.25">
      <c r="A13" s="15">
        <v>10</v>
      </c>
      <c r="B13" s="16"/>
      <c r="C13" s="17" t="s">
        <v>244</v>
      </c>
      <c r="D13" s="18"/>
      <c r="E13" s="18" t="str">
        <f t="shared" si="0"/>
        <v/>
      </c>
      <c r="F13" s="18">
        <v>34</v>
      </c>
      <c r="G13" s="18">
        <f t="shared" si="1"/>
        <v>340</v>
      </c>
    </row>
    <row r="14" spans="1:7" x14ac:dyDescent="0.25">
      <c r="A14" s="15">
        <v>11</v>
      </c>
      <c r="B14" s="16"/>
      <c r="C14" s="17" t="s">
        <v>245</v>
      </c>
      <c r="D14" s="18"/>
      <c r="E14" s="18" t="str">
        <f t="shared" si="0"/>
        <v/>
      </c>
      <c r="F14" s="18">
        <v>24</v>
      </c>
      <c r="G14" s="18">
        <f t="shared" si="1"/>
        <v>264</v>
      </c>
    </row>
    <row r="15" spans="1:7" x14ac:dyDescent="0.25">
      <c r="A15" s="15">
        <v>6</v>
      </c>
      <c r="B15" s="16"/>
      <c r="C15" s="17" t="s">
        <v>246</v>
      </c>
      <c r="D15" s="18"/>
      <c r="E15" s="18" t="str">
        <f t="shared" si="0"/>
        <v/>
      </c>
      <c r="F15" s="18">
        <v>60</v>
      </c>
      <c r="G15" s="18">
        <f t="shared" si="1"/>
        <v>360</v>
      </c>
    </row>
    <row r="16" spans="1:7" x14ac:dyDescent="0.25">
      <c r="A16" s="15">
        <v>5</v>
      </c>
      <c r="B16" s="16"/>
      <c r="C16" s="17" t="s">
        <v>247</v>
      </c>
      <c r="D16" s="18"/>
      <c r="E16" s="18" t="str">
        <f t="shared" si="0"/>
        <v/>
      </c>
      <c r="F16" s="18">
        <v>75</v>
      </c>
      <c r="G16" s="18">
        <f t="shared" si="1"/>
        <v>375</v>
      </c>
    </row>
    <row r="17" spans="1:7" x14ac:dyDescent="0.25">
      <c r="A17" s="15">
        <v>12</v>
      </c>
      <c r="B17" s="16"/>
      <c r="C17" s="17" t="s">
        <v>248</v>
      </c>
      <c r="D17" s="18"/>
      <c r="E17" s="18" t="str">
        <f t="shared" si="0"/>
        <v/>
      </c>
      <c r="F17" s="18">
        <v>85</v>
      </c>
      <c r="G17" s="18">
        <f t="shared" si="1"/>
        <v>1020</v>
      </c>
    </row>
    <row r="18" spans="1:7" x14ac:dyDescent="0.25">
      <c r="A18" s="15">
        <v>9</v>
      </c>
      <c r="B18" s="16"/>
      <c r="C18" s="17" t="s">
        <v>249</v>
      </c>
      <c r="D18" s="18"/>
      <c r="E18" s="18" t="str">
        <f t="shared" si="0"/>
        <v/>
      </c>
      <c r="F18" s="18">
        <v>105</v>
      </c>
      <c r="G18" s="18">
        <f t="shared" si="1"/>
        <v>945</v>
      </c>
    </row>
    <row r="19" spans="1:7" x14ac:dyDescent="0.25">
      <c r="A19" s="15">
        <v>4</v>
      </c>
      <c r="B19" s="16"/>
      <c r="C19" s="17" t="s">
        <v>250</v>
      </c>
      <c r="D19" s="18"/>
      <c r="E19" s="18" t="str">
        <f t="shared" si="0"/>
        <v/>
      </c>
      <c r="F19" s="18">
        <v>45</v>
      </c>
      <c r="G19" s="18">
        <f t="shared" si="1"/>
        <v>180</v>
      </c>
    </row>
    <row r="20" spans="1:7" x14ac:dyDescent="0.25">
      <c r="A20" s="15">
        <v>20</v>
      </c>
      <c r="B20" s="16"/>
      <c r="C20" s="17" t="s">
        <v>251</v>
      </c>
      <c r="D20" s="18"/>
      <c r="E20" s="18" t="str">
        <f t="shared" si="0"/>
        <v/>
      </c>
      <c r="F20" s="18">
        <v>40</v>
      </c>
      <c r="G20" s="18">
        <f t="shared" si="1"/>
        <v>800</v>
      </c>
    </row>
    <row r="21" spans="1:7" x14ac:dyDescent="0.25">
      <c r="A21" s="15">
        <v>1</v>
      </c>
      <c r="B21" s="16"/>
      <c r="C21" s="17" t="s">
        <v>252</v>
      </c>
      <c r="D21" s="18"/>
      <c r="E21" s="18" t="str">
        <f t="shared" si="0"/>
        <v/>
      </c>
      <c r="F21" s="18">
        <v>60</v>
      </c>
      <c r="G21" s="18">
        <f t="shared" si="1"/>
        <v>60</v>
      </c>
    </row>
    <row r="22" spans="1:7" x14ac:dyDescent="0.25">
      <c r="A22" s="15">
        <v>15</v>
      </c>
      <c r="B22" s="16"/>
      <c r="C22" s="17" t="s">
        <v>253</v>
      </c>
      <c r="D22" s="18"/>
      <c r="E22" s="18" t="str">
        <f t="shared" si="0"/>
        <v/>
      </c>
      <c r="F22" s="18">
        <v>20</v>
      </c>
      <c r="G22" s="18">
        <f t="shared" si="1"/>
        <v>300</v>
      </c>
    </row>
    <row r="23" spans="1:7" x14ac:dyDescent="0.25">
      <c r="A23" s="15">
        <v>4</v>
      </c>
      <c r="B23" s="16"/>
      <c r="C23" s="17" t="s">
        <v>254</v>
      </c>
      <c r="D23" s="18"/>
      <c r="E23" s="18" t="str">
        <f t="shared" si="0"/>
        <v/>
      </c>
      <c r="F23" s="18">
        <v>15</v>
      </c>
      <c r="G23" s="18">
        <f t="shared" si="1"/>
        <v>60</v>
      </c>
    </row>
    <row r="24" spans="1:7" x14ac:dyDescent="0.25">
      <c r="A24" s="15">
        <v>1</v>
      </c>
      <c r="B24" s="16"/>
      <c r="C24" s="17" t="s">
        <v>255</v>
      </c>
      <c r="D24" s="18"/>
      <c r="E24" s="18" t="str">
        <f t="shared" si="0"/>
        <v/>
      </c>
      <c r="F24" s="18">
        <v>15</v>
      </c>
      <c r="G24" s="18">
        <f t="shared" si="1"/>
        <v>15</v>
      </c>
    </row>
    <row r="25" spans="1:7" x14ac:dyDescent="0.25">
      <c r="A25" s="15">
        <v>5</v>
      </c>
      <c r="B25" s="16"/>
      <c r="C25" s="17" t="s">
        <v>256</v>
      </c>
      <c r="D25" s="18"/>
      <c r="E25" s="18" t="str">
        <f t="shared" si="0"/>
        <v/>
      </c>
      <c r="F25" s="18">
        <v>25</v>
      </c>
      <c r="G25" s="18">
        <f t="shared" si="1"/>
        <v>125</v>
      </c>
    </row>
    <row r="26" spans="1:7" x14ac:dyDescent="0.25">
      <c r="A26" s="15">
        <v>5</v>
      </c>
      <c r="B26" s="16"/>
      <c r="C26" s="17" t="s">
        <v>257</v>
      </c>
      <c r="D26" s="18"/>
      <c r="E26" s="18" t="str">
        <f t="shared" si="0"/>
        <v/>
      </c>
      <c r="F26" s="18">
        <v>30</v>
      </c>
      <c r="G26" s="18">
        <f t="shared" si="1"/>
        <v>150</v>
      </c>
    </row>
    <row r="27" spans="1:7" x14ac:dyDescent="0.25">
      <c r="A27" s="15">
        <v>7</v>
      </c>
      <c r="B27" s="16"/>
      <c r="C27" s="17" t="s">
        <v>258</v>
      </c>
      <c r="D27" s="18"/>
      <c r="E27" s="18" t="str">
        <f t="shared" si="0"/>
        <v/>
      </c>
      <c r="F27" s="18">
        <v>40</v>
      </c>
      <c r="G27" s="18">
        <f t="shared" si="1"/>
        <v>280</v>
      </c>
    </row>
    <row r="28" spans="1:7" x14ac:dyDescent="0.25">
      <c r="A28" s="15">
        <v>2</v>
      </c>
      <c r="B28" s="16"/>
      <c r="C28" s="17" t="s">
        <v>259</v>
      </c>
      <c r="D28" s="18"/>
      <c r="E28" s="18" t="str">
        <f t="shared" si="0"/>
        <v/>
      </c>
      <c r="F28" s="18">
        <v>45</v>
      </c>
      <c r="G28" s="18">
        <f t="shared" si="1"/>
        <v>90</v>
      </c>
    </row>
    <row r="29" spans="1:7" x14ac:dyDescent="0.25">
      <c r="A29" s="15">
        <v>165</v>
      </c>
      <c r="B29" s="16"/>
      <c r="C29" s="17" t="s">
        <v>260</v>
      </c>
      <c r="D29" s="18"/>
      <c r="E29" s="18" t="str">
        <f t="shared" si="0"/>
        <v/>
      </c>
      <c r="F29" s="18">
        <v>16</v>
      </c>
      <c r="G29" s="18">
        <f t="shared" si="1"/>
        <v>2640</v>
      </c>
    </row>
    <row r="30" spans="1:7" x14ac:dyDescent="0.25">
      <c r="A30" s="15">
        <v>165</v>
      </c>
      <c r="B30" s="16"/>
      <c r="C30" s="17" t="s">
        <v>261</v>
      </c>
      <c r="D30" s="18"/>
      <c r="E30" s="18" t="str">
        <f t="shared" si="0"/>
        <v/>
      </c>
      <c r="F30" s="18">
        <v>16</v>
      </c>
      <c r="G30" s="18">
        <f t="shared" si="1"/>
        <v>2640</v>
      </c>
    </row>
    <row r="31" spans="1:7" x14ac:dyDescent="0.25">
      <c r="A31" s="15">
        <v>98</v>
      </c>
      <c r="B31" s="16"/>
      <c r="C31" s="17" t="s">
        <v>262</v>
      </c>
      <c r="D31" s="18"/>
      <c r="E31" s="18" t="str">
        <f t="shared" si="0"/>
        <v/>
      </c>
      <c r="F31" s="18">
        <v>35</v>
      </c>
      <c r="G31" s="18">
        <f t="shared" si="1"/>
        <v>3430</v>
      </c>
    </row>
    <row r="32" spans="1:7" x14ac:dyDescent="0.25">
      <c r="A32" s="15">
        <v>55</v>
      </c>
      <c r="B32" s="16"/>
      <c r="C32" s="17" t="s">
        <v>263</v>
      </c>
      <c r="D32" s="18"/>
      <c r="E32" s="18" t="str">
        <f t="shared" si="0"/>
        <v/>
      </c>
      <c r="F32" s="18">
        <v>60</v>
      </c>
      <c r="G32" s="18">
        <f t="shared" si="1"/>
        <v>3300</v>
      </c>
    </row>
    <row r="33" spans="3:7" x14ac:dyDescent="0.25">
      <c r="C33" s="10" t="s">
        <v>167</v>
      </c>
      <c r="E33" s="11">
        <f>SUM(E8:E32)</f>
        <v>0</v>
      </c>
      <c r="G33" s="11">
        <f>SUM(G8:G32)</f>
        <v>23946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27</v>
      </c>
      <c r="G5" s="6" t="s">
        <v>26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3</v>
      </c>
      <c r="B8" s="16"/>
      <c r="C8" s="17" t="s">
        <v>264</v>
      </c>
      <c r="D8" s="18"/>
      <c r="E8" s="18" t="str">
        <f>IF(ISNUMBER(D8), A8*D8, "")</f>
        <v/>
      </c>
      <c r="F8" s="18">
        <v>220</v>
      </c>
      <c r="G8" s="18">
        <f>A8*F8</f>
        <v>660</v>
      </c>
    </row>
    <row r="9" spans="1:7" x14ac:dyDescent="0.25">
      <c r="A9" s="15">
        <v>9</v>
      </c>
      <c r="B9" s="16"/>
      <c r="C9" s="17" t="s">
        <v>265</v>
      </c>
      <c r="D9" s="18"/>
      <c r="E9" s="18" t="str">
        <f>IF(ISNUMBER(D9), A9*D9, "")</f>
        <v/>
      </c>
      <c r="F9" s="18">
        <v>150</v>
      </c>
      <c r="G9" s="18">
        <f>A9*F9</f>
        <v>1350</v>
      </c>
    </row>
    <row r="10" spans="1:7" x14ac:dyDescent="0.25">
      <c r="A10" s="15">
        <v>18</v>
      </c>
      <c r="B10" s="16"/>
      <c r="C10" s="17" t="s">
        <v>266</v>
      </c>
      <c r="D10" s="18"/>
      <c r="E10" s="18" t="str">
        <f>IF(ISNUMBER(D10), A10*D10, "")</f>
        <v/>
      </c>
      <c r="F10" s="18">
        <v>120</v>
      </c>
      <c r="G10" s="18">
        <f>A10*F10</f>
        <v>2160</v>
      </c>
    </row>
    <row r="11" spans="1:7" x14ac:dyDescent="0.25">
      <c r="A11" s="15">
        <v>19</v>
      </c>
      <c r="B11" s="16"/>
      <c r="C11" s="17" t="s">
        <v>267</v>
      </c>
      <c r="D11" s="18"/>
      <c r="E11" s="18" t="str">
        <f>IF(ISNUMBER(D11), A11*D11, "")</f>
        <v/>
      </c>
      <c r="F11" s="18">
        <v>80</v>
      </c>
      <c r="G11" s="18">
        <f>A11*F11</f>
        <v>1520</v>
      </c>
    </row>
    <row r="12" spans="1:7" x14ac:dyDescent="0.25">
      <c r="C12" s="10" t="s">
        <v>167</v>
      </c>
      <c r="E12" s="11">
        <f>SUM(E8:E11)</f>
        <v>0</v>
      </c>
      <c r="G12" s="11">
        <f>SUM(G8:G11)</f>
        <v>5690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27</v>
      </c>
      <c r="G5" s="6" t="s">
        <v>29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7</v>
      </c>
      <c r="B8" s="16"/>
      <c r="C8" s="17" t="s">
        <v>268</v>
      </c>
      <c r="D8" s="18"/>
      <c r="E8" s="18" t="str">
        <f t="shared" ref="E8:E32" si="0">IF(ISNUMBER(D8), A8*D8, "")</f>
        <v/>
      </c>
      <c r="F8" s="18">
        <v>400</v>
      </c>
      <c r="G8" s="18">
        <f t="shared" ref="G8:G32" si="1">A8*F8</f>
        <v>2800</v>
      </c>
    </row>
    <row r="9" spans="1:7" x14ac:dyDescent="0.25">
      <c r="A9" s="15">
        <v>9</v>
      </c>
      <c r="B9" s="16"/>
      <c r="C9" s="17" t="s">
        <v>269</v>
      </c>
      <c r="D9" s="18"/>
      <c r="E9" s="18" t="str">
        <f t="shared" si="0"/>
        <v/>
      </c>
      <c r="F9" s="18">
        <v>310</v>
      </c>
      <c r="G9" s="18">
        <f t="shared" si="1"/>
        <v>2790</v>
      </c>
    </row>
    <row r="10" spans="1:7" x14ac:dyDescent="0.25">
      <c r="A10" s="15">
        <v>2</v>
      </c>
      <c r="B10" s="16"/>
      <c r="C10" s="17" t="s">
        <v>270</v>
      </c>
      <c r="D10" s="18"/>
      <c r="E10" s="18" t="str">
        <f t="shared" si="0"/>
        <v/>
      </c>
      <c r="F10" s="18">
        <v>1500</v>
      </c>
      <c r="G10" s="18">
        <f t="shared" si="1"/>
        <v>3000</v>
      </c>
    </row>
    <row r="11" spans="1:7" x14ac:dyDescent="0.25">
      <c r="A11" s="15">
        <v>32</v>
      </c>
      <c r="B11" s="16"/>
      <c r="C11" s="17" t="s">
        <v>271</v>
      </c>
      <c r="D11" s="18"/>
      <c r="E11" s="18" t="str">
        <f t="shared" si="0"/>
        <v/>
      </c>
      <c r="F11" s="18">
        <v>460</v>
      </c>
      <c r="G11" s="18">
        <f t="shared" si="1"/>
        <v>14720</v>
      </c>
    </row>
    <row r="12" spans="1:7" x14ac:dyDescent="0.25">
      <c r="A12" s="15">
        <v>3</v>
      </c>
      <c r="B12" s="16"/>
      <c r="C12" s="17" t="s">
        <v>272</v>
      </c>
      <c r="D12" s="18"/>
      <c r="E12" s="18" t="str">
        <f t="shared" si="0"/>
        <v/>
      </c>
      <c r="F12" s="18">
        <v>50</v>
      </c>
      <c r="G12" s="18">
        <f t="shared" si="1"/>
        <v>150</v>
      </c>
    </row>
    <row r="13" spans="1:7" x14ac:dyDescent="0.25">
      <c r="A13" s="15">
        <v>3</v>
      </c>
      <c r="B13" s="16"/>
      <c r="C13" s="17" t="s">
        <v>273</v>
      </c>
      <c r="D13" s="18"/>
      <c r="E13" s="18" t="str">
        <f t="shared" si="0"/>
        <v/>
      </c>
      <c r="F13" s="18">
        <v>35</v>
      </c>
      <c r="G13" s="18">
        <f t="shared" si="1"/>
        <v>105</v>
      </c>
    </row>
    <row r="14" spans="1:7" x14ac:dyDescent="0.25">
      <c r="A14" s="15">
        <v>3</v>
      </c>
      <c r="B14" s="16"/>
      <c r="C14" s="17" t="s">
        <v>274</v>
      </c>
      <c r="D14" s="18"/>
      <c r="E14" s="18" t="str">
        <f t="shared" si="0"/>
        <v/>
      </c>
      <c r="F14" s="18">
        <v>15</v>
      </c>
      <c r="G14" s="18">
        <f t="shared" si="1"/>
        <v>45</v>
      </c>
    </row>
    <row r="15" spans="1:7" x14ac:dyDescent="0.25">
      <c r="A15" s="15">
        <v>50</v>
      </c>
      <c r="B15" s="16"/>
      <c r="C15" s="17" t="s">
        <v>275</v>
      </c>
      <c r="D15" s="18"/>
      <c r="E15" s="18" t="str">
        <f t="shared" si="0"/>
        <v/>
      </c>
      <c r="F15" s="18">
        <v>15</v>
      </c>
      <c r="G15" s="18">
        <f t="shared" si="1"/>
        <v>750</v>
      </c>
    </row>
    <row r="16" spans="1:7" x14ac:dyDescent="0.25">
      <c r="A16" s="15">
        <v>64</v>
      </c>
      <c r="B16" s="16"/>
      <c r="C16" s="17" t="s">
        <v>276</v>
      </c>
      <c r="D16" s="18"/>
      <c r="E16" s="18" t="str">
        <f t="shared" si="0"/>
        <v/>
      </c>
      <c r="F16" s="18">
        <v>25</v>
      </c>
      <c r="G16" s="18">
        <f t="shared" si="1"/>
        <v>1600</v>
      </c>
    </row>
    <row r="17" spans="1:7" x14ac:dyDescent="0.25">
      <c r="A17" s="15">
        <v>2</v>
      </c>
      <c r="B17" s="16"/>
      <c r="C17" s="17" t="s">
        <v>277</v>
      </c>
      <c r="D17" s="18"/>
      <c r="E17" s="18" t="str">
        <f t="shared" si="0"/>
        <v/>
      </c>
      <c r="F17" s="18">
        <v>55</v>
      </c>
      <c r="G17" s="18">
        <f t="shared" si="1"/>
        <v>110</v>
      </c>
    </row>
    <row r="18" spans="1:7" x14ac:dyDescent="0.25">
      <c r="A18" s="15">
        <v>4</v>
      </c>
      <c r="B18" s="16"/>
      <c r="C18" s="17" t="s">
        <v>278</v>
      </c>
      <c r="D18" s="18"/>
      <c r="E18" s="18" t="str">
        <f t="shared" si="0"/>
        <v/>
      </c>
      <c r="F18" s="18">
        <v>70</v>
      </c>
      <c r="G18" s="18">
        <f t="shared" si="1"/>
        <v>280</v>
      </c>
    </row>
    <row r="19" spans="1:7" x14ac:dyDescent="0.25">
      <c r="A19" s="15">
        <v>2</v>
      </c>
      <c r="B19" s="16"/>
      <c r="C19" s="17" t="s">
        <v>279</v>
      </c>
      <c r="D19" s="18"/>
      <c r="E19" s="18" t="str">
        <f t="shared" si="0"/>
        <v/>
      </c>
      <c r="F19" s="18">
        <v>95</v>
      </c>
      <c r="G19" s="18">
        <f t="shared" si="1"/>
        <v>190</v>
      </c>
    </row>
    <row r="20" spans="1:7" x14ac:dyDescent="0.25">
      <c r="A20" s="15">
        <v>1</v>
      </c>
      <c r="B20" s="16"/>
      <c r="C20" s="17" t="s">
        <v>280</v>
      </c>
      <c r="D20" s="18"/>
      <c r="E20" s="18" t="str">
        <f t="shared" si="0"/>
        <v/>
      </c>
      <c r="F20" s="18">
        <v>100</v>
      </c>
      <c r="G20" s="18">
        <f t="shared" si="1"/>
        <v>100</v>
      </c>
    </row>
    <row r="21" spans="1:7" x14ac:dyDescent="0.25">
      <c r="A21" s="15">
        <v>12</v>
      </c>
      <c r="B21" s="16"/>
      <c r="C21" s="17" t="s">
        <v>281</v>
      </c>
      <c r="D21" s="18"/>
      <c r="E21" s="18" t="str">
        <f t="shared" si="0"/>
        <v/>
      </c>
      <c r="F21" s="18">
        <v>100</v>
      </c>
      <c r="G21" s="18">
        <f t="shared" si="1"/>
        <v>1200</v>
      </c>
    </row>
    <row r="22" spans="1:7" x14ac:dyDescent="0.25">
      <c r="A22" s="15">
        <v>16</v>
      </c>
      <c r="B22" s="16"/>
      <c r="C22" s="17" t="s">
        <v>282</v>
      </c>
      <c r="D22" s="18"/>
      <c r="E22" s="18" t="str">
        <f t="shared" si="0"/>
        <v/>
      </c>
      <c r="F22" s="18">
        <v>115</v>
      </c>
      <c r="G22" s="18">
        <f t="shared" si="1"/>
        <v>1840</v>
      </c>
    </row>
    <row r="23" spans="1:7" x14ac:dyDescent="0.25">
      <c r="A23" s="15">
        <v>11</v>
      </c>
      <c r="B23" s="16"/>
      <c r="C23" s="17" t="s">
        <v>283</v>
      </c>
      <c r="D23" s="18"/>
      <c r="E23" s="18" t="str">
        <f t="shared" si="0"/>
        <v/>
      </c>
      <c r="F23" s="18">
        <v>130</v>
      </c>
      <c r="G23" s="18">
        <f t="shared" si="1"/>
        <v>1430</v>
      </c>
    </row>
    <row r="24" spans="1:7" x14ac:dyDescent="0.25">
      <c r="A24" s="15">
        <v>5</v>
      </c>
      <c r="B24" s="16"/>
      <c r="C24" s="17" t="s">
        <v>284</v>
      </c>
      <c r="D24" s="18"/>
      <c r="E24" s="18" t="str">
        <f t="shared" si="0"/>
        <v/>
      </c>
      <c r="F24" s="18">
        <v>90</v>
      </c>
      <c r="G24" s="18">
        <f t="shared" si="1"/>
        <v>450</v>
      </c>
    </row>
    <row r="25" spans="1:7" x14ac:dyDescent="0.25">
      <c r="A25" s="15">
        <v>4</v>
      </c>
      <c r="B25" s="16"/>
      <c r="C25" s="17" t="s">
        <v>285</v>
      </c>
      <c r="D25" s="18"/>
      <c r="E25" s="18" t="str">
        <f t="shared" si="0"/>
        <v/>
      </c>
      <c r="F25" s="18">
        <v>170</v>
      </c>
      <c r="G25" s="18">
        <f t="shared" si="1"/>
        <v>680</v>
      </c>
    </row>
    <row r="26" spans="1:7" x14ac:dyDescent="0.25">
      <c r="A26" s="15">
        <v>3</v>
      </c>
      <c r="B26" s="16"/>
      <c r="C26" s="17" t="s">
        <v>286</v>
      </c>
      <c r="D26" s="18"/>
      <c r="E26" s="18" t="str">
        <f t="shared" si="0"/>
        <v/>
      </c>
      <c r="F26" s="18">
        <v>305</v>
      </c>
      <c r="G26" s="18">
        <f t="shared" si="1"/>
        <v>915</v>
      </c>
    </row>
    <row r="27" spans="1:7" x14ac:dyDescent="0.25">
      <c r="A27" s="15">
        <v>8</v>
      </c>
      <c r="B27" s="16"/>
      <c r="C27" s="17" t="s">
        <v>287</v>
      </c>
      <c r="D27" s="18"/>
      <c r="E27" s="18" t="str">
        <f t="shared" si="0"/>
        <v/>
      </c>
      <c r="F27" s="18">
        <v>65</v>
      </c>
      <c r="G27" s="18">
        <f t="shared" si="1"/>
        <v>520</v>
      </c>
    </row>
    <row r="28" spans="1:7" x14ac:dyDescent="0.25">
      <c r="A28" s="15">
        <v>12</v>
      </c>
      <c r="B28" s="16"/>
      <c r="C28" s="17" t="s">
        <v>277</v>
      </c>
      <c r="D28" s="18"/>
      <c r="E28" s="18" t="str">
        <f t="shared" si="0"/>
        <v/>
      </c>
      <c r="F28" s="18">
        <v>55</v>
      </c>
      <c r="G28" s="18">
        <f t="shared" si="1"/>
        <v>660</v>
      </c>
    </row>
    <row r="29" spans="1:7" x14ac:dyDescent="0.25">
      <c r="A29" s="15">
        <v>9</v>
      </c>
      <c r="B29" s="16"/>
      <c r="C29" s="17" t="s">
        <v>288</v>
      </c>
      <c r="D29" s="18"/>
      <c r="E29" s="18" t="str">
        <f t="shared" si="0"/>
        <v/>
      </c>
      <c r="F29" s="18">
        <v>50</v>
      </c>
      <c r="G29" s="18">
        <f t="shared" si="1"/>
        <v>450</v>
      </c>
    </row>
    <row r="30" spans="1:7" x14ac:dyDescent="0.25">
      <c r="A30" s="15">
        <v>7</v>
      </c>
      <c r="B30" s="16"/>
      <c r="C30" s="17" t="s">
        <v>289</v>
      </c>
      <c r="D30" s="18"/>
      <c r="E30" s="18" t="str">
        <f t="shared" si="0"/>
        <v/>
      </c>
      <c r="F30" s="18">
        <v>25</v>
      </c>
      <c r="G30" s="18">
        <f t="shared" si="1"/>
        <v>175</v>
      </c>
    </row>
    <row r="31" spans="1:7" x14ac:dyDescent="0.25">
      <c r="A31" s="15">
        <v>11</v>
      </c>
      <c r="B31" s="16"/>
      <c r="C31" s="17" t="s">
        <v>290</v>
      </c>
      <c r="D31" s="18"/>
      <c r="E31" s="18" t="str">
        <f t="shared" si="0"/>
        <v/>
      </c>
      <c r="F31" s="18">
        <v>30</v>
      </c>
      <c r="G31" s="18">
        <f t="shared" si="1"/>
        <v>330</v>
      </c>
    </row>
    <row r="32" spans="1:7" x14ac:dyDescent="0.25">
      <c r="A32" s="15">
        <v>7</v>
      </c>
      <c r="B32" s="16"/>
      <c r="C32" s="17" t="s">
        <v>291</v>
      </c>
      <c r="D32" s="18"/>
      <c r="E32" s="18" t="str">
        <f t="shared" si="0"/>
        <v/>
      </c>
      <c r="F32" s="18">
        <v>30</v>
      </c>
      <c r="G32" s="18">
        <f t="shared" si="1"/>
        <v>210</v>
      </c>
    </row>
    <row r="33" spans="3:7" x14ac:dyDescent="0.25">
      <c r="C33" s="10" t="s">
        <v>167</v>
      </c>
      <c r="E33" s="11">
        <f>SUM(E8:E32)</f>
        <v>0</v>
      </c>
      <c r="G33" s="11">
        <f>SUM(G8:G32)</f>
        <v>35500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32</v>
      </c>
      <c r="G5" s="6" t="s">
        <v>31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7</v>
      </c>
      <c r="B8" s="16"/>
      <c r="C8" s="17" t="s">
        <v>292</v>
      </c>
      <c r="D8" s="18"/>
      <c r="E8" s="18" t="str">
        <f t="shared" ref="E8:E23" si="0">IF(ISNUMBER(D8), A8*D8, "")</f>
        <v/>
      </c>
      <c r="F8" s="18">
        <v>50</v>
      </c>
      <c r="G8" s="18">
        <f t="shared" ref="G8:G23" si="1">A8*F8</f>
        <v>350</v>
      </c>
    </row>
    <row r="9" spans="1:7" x14ac:dyDescent="0.25">
      <c r="A9" s="15">
        <v>2</v>
      </c>
      <c r="B9" s="16"/>
      <c r="C9" s="17" t="s">
        <v>293</v>
      </c>
      <c r="D9" s="18"/>
      <c r="E9" s="18" t="str">
        <f t="shared" si="0"/>
        <v/>
      </c>
      <c r="F9" s="18">
        <v>85</v>
      </c>
      <c r="G9" s="18">
        <f t="shared" si="1"/>
        <v>170</v>
      </c>
    </row>
    <row r="10" spans="1:7" x14ac:dyDescent="0.25">
      <c r="A10" s="15">
        <v>2</v>
      </c>
      <c r="B10" s="16"/>
      <c r="C10" s="17" t="s">
        <v>294</v>
      </c>
      <c r="D10" s="18"/>
      <c r="E10" s="18" t="str">
        <f t="shared" si="0"/>
        <v/>
      </c>
      <c r="F10" s="18">
        <v>90</v>
      </c>
      <c r="G10" s="18">
        <f t="shared" si="1"/>
        <v>180</v>
      </c>
    </row>
    <row r="11" spans="1:7" x14ac:dyDescent="0.25">
      <c r="A11" s="15">
        <v>5</v>
      </c>
      <c r="B11" s="16"/>
      <c r="C11" s="17" t="s">
        <v>295</v>
      </c>
      <c r="D11" s="18"/>
      <c r="E11" s="18" t="str">
        <f t="shared" si="0"/>
        <v/>
      </c>
      <c r="F11" s="18">
        <v>80</v>
      </c>
      <c r="G11" s="18">
        <f t="shared" si="1"/>
        <v>400</v>
      </c>
    </row>
    <row r="12" spans="1:7" x14ac:dyDescent="0.25">
      <c r="A12" s="15">
        <v>5</v>
      </c>
      <c r="B12" s="16"/>
      <c r="C12" s="17" t="s">
        <v>296</v>
      </c>
      <c r="D12" s="18"/>
      <c r="E12" s="18" t="str">
        <f t="shared" si="0"/>
        <v/>
      </c>
      <c r="F12" s="18">
        <v>27</v>
      </c>
      <c r="G12" s="18">
        <f t="shared" si="1"/>
        <v>135</v>
      </c>
    </row>
    <row r="13" spans="1:7" x14ac:dyDescent="0.25">
      <c r="A13" s="15">
        <v>36</v>
      </c>
      <c r="B13" s="16"/>
      <c r="C13" s="17" t="s">
        <v>297</v>
      </c>
      <c r="D13" s="18"/>
      <c r="E13" s="18" t="str">
        <f t="shared" si="0"/>
        <v/>
      </c>
      <c r="F13" s="18">
        <v>14</v>
      </c>
      <c r="G13" s="18">
        <f t="shared" si="1"/>
        <v>504</v>
      </c>
    </row>
    <row r="14" spans="1:7" x14ac:dyDescent="0.25">
      <c r="A14" s="15">
        <v>24</v>
      </c>
      <c r="B14" s="16"/>
      <c r="C14" s="17" t="s">
        <v>298</v>
      </c>
      <c r="D14" s="18"/>
      <c r="E14" s="18" t="str">
        <f t="shared" si="0"/>
        <v/>
      </c>
      <c r="F14" s="18">
        <v>15</v>
      </c>
      <c r="G14" s="18">
        <f t="shared" si="1"/>
        <v>360</v>
      </c>
    </row>
    <row r="15" spans="1:7" x14ac:dyDescent="0.25">
      <c r="A15" s="15">
        <v>1</v>
      </c>
      <c r="B15" s="16"/>
      <c r="C15" s="17" t="s">
        <v>299</v>
      </c>
      <c r="D15" s="18"/>
      <c r="E15" s="18" t="str">
        <f t="shared" si="0"/>
        <v/>
      </c>
      <c r="F15" s="18">
        <v>15</v>
      </c>
      <c r="G15" s="18">
        <f t="shared" si="1"/>
        <v>15</v>
      </c>
    </row>
    <row r="16" spans="1:7" x14ac:dyDescent="0.25">
      <c r="A16" s="15">
        <v>1</v>
      </c>
      <c r="B16" s="16"/>
      <c r="C16" s="17" t="s">
        <v>300</v>
      </c>
      <c r="D16" s="18"/>
      <c r="E16" s="18" t="str">
        <f t="shared" si="0"/>
        <v/>
      </c>
      <c r="F16" s="18">
        <v>20</v>
      </c>
      <c r="G16" s="18">
        <f t="shared" si="1"/>
        <v>20</v>
      </c>
    </row>
    <row r="17" spans="1:7" x14ac:dyDescent="0.25">
      <c r="A17" s="15">
        <v>1</v>
      </c>
      <c r="B17" s="16"/>
      <c r="C17" s="17" t="s">
        <v>301</v>
      </c>
      <c r="D17" s="18"/>
      <c r="E17" s="18" t="str">
        <f t="shared" si="0"/>
        <v/>
      </c>
      <c r="F17" s="18">
        <v>10</v>
      </c>
      <c r="G17" s="18">
        <f t="shared" si="1"/>
        <v>10</v>
      </c>
    </row>
    <row r="18" spans="1:7" x14ac:dyDescent="0.25">
      <c r="A18" s="15">
        <v>4</v>
      </c>
      <c r="B18" s="16"/>
      <c r="C18" s="17" t="s">
        <v>302</v>
      </c>
      <c r="D18" s="18"/>
      <c r="E18" s="18" t="str">
        <f t="shared" si="0"/>
        <v/>
      </c>
      <c r="F18" s="18">
        <v>120</v>
      </c>
      <c r="G18" s="18">
        <f t="shared" si="1"/>
        <v>480</v>
      </c>
    </row>
    <row r="19" spans="1:7" x14ac:dyDescent="0.25">
      <c r="A19" s="15">
        <v>1</v>
      </c>
      <c r="B19" s="16"/>
      <c r="C19" s="17" t="s">
        <v>303</v>
      </c>
      <c r="D19" s="18"/>
      <c r="E19" s="18" t="str">
        <f t="shared" si="0"/>
        <v/>
      </c>
      <c r="F19" s="18">
        <v>105</v>
      </c>
      <c r="G19" s="18">
        <f t="shared" si="1"/>
        <v>105</v>
      </c>
    </row>
    <row r="20" spans="1:7" x14ac:dyDescent="0.25">
      <c r="A20" s="15">
        <v>18</v>
      </c>
      <c r="B20" s="16"/>
      <c r="C20" s="17" t="s">
        <v>304</v>
      </c>
      <c r="D20" s="18"/>
      <c r="E20" s="18" t="str">
        <f t="shared" si="0"/>
        <v/>
      </c>
      <c r="F20" s="18">
        <v>10</v>
      </c>
      <c r="G20" s="18">
        <f t="shared" si="1"/>
        <v>180</v>
      </c>
    </row>
    <row r="21" spans="1:7" x14ac:dyDescent="0.25">
      <c r="A21" s="15">
        <v>88</v>
      </c>
      <c r="B21" s="16"/>
      <c r="C21" s="17" t="s">
        <v>305</v>
      </c>
      <c r="D21" s="18"/>
      <c r="E21" s="18" t="str">
        <f t="shared" si="0"/>
        <v/>
      </c>
      <c r="F21" s="18">
        <v>15</v>
      </c>
      <c r="G21" s="18">
        <f t="shared" si="1"/>
        <v>1320</v>
      </c>
    </row>
    <row r="22" spans="1:7" x14ac:dyDescent="0.25">
      <c r="A22" s="15">
        <v>50</v>
      </c>
      <c r="B22" s="16"/>
      <c r="C22" s="17" t="s">
        <v>304</v>
      </c>
      <c r="D22" s="18"/>
      <c r="E22" s="18" t="str">
        <f t="shared" si="0"/>
        <v/>
      </c>
      <c r="F22" s="18">
        <v>10</v>
      </c>
      <c r="G22" s="18">
        <f t="shared" si="1"/>
        <v>500</v>
      </c>
    </row>
    <row r="23" spans="1:7" x14ac:dyDescent="0.25">
      <c r="A23" s="15">
        <v>50</v>
      </c>
      <c r="B23" s="16"/>
      <c r="C23" s="17" t="s">
        <v>306</v>
      </c>
      <c r="D23" s="18"/>
      <c r="E23" s="18" t="str">
        <f t="shared" si="0"/>
        <v/>
      </c>
      <c r="F23" s="18">
        <v>10</v>
      </c>
      <c r="G23" s="18">
        <f t="shared" si="1"/>
        <v>500</v>
      </c>
    </row>
    <row r="24" spans="1:7" x14ac:dyDescent="0.25">
      <c r="C24" s="10" t="s">
        <v>167</v>
      </c>
      <c r="E24" s="11">
        <f>SUM(E8:E23)</f>
        <v>0</v>
      </c>
      <c r="G24" s="11">
        <f>SUM(G8:G23)</f>
        <v>5229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7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32</v>
      </c>
      <c r="G5" s="6" t="s">
        <v>34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</v>
      </c>
      <c r="B8" s="16"/>
      <c r="C8" s="17" t="s">
        <v>307</v>
      </c>
      <c r="D8" s="18"/>
      <c r="E8" s="18" t="str">
        <f t="shared" ref="E8:E26" si="0">IF(ISNUMBER(D8), A8*D8, "")</f>
        <v/>
      </c>
      <c r="F8" s="18">
        <v>75</v>
      </c>
      <c r="G8" s="18">
        <f t="shared" ref="G8:G26" si="1">A8*F8</f>
        <v>75</v>
      </c>
    </row>
    <row r="9" spans="1:7" x14ac:dyDescent="0.25">
      <c r="A9" s="15">
        <v>12</v>
      </c>
      <c r="B9" s="16"/>
      <c r="C9" s="17" t="s">
        <v>308</v>
      </c>
      <c r="D9" s="18"/>
      <c r="E9" s="18" t="str">
        <f t="shared" si="0"/>
        <v/>
      </c>
      <c r="F9" s="18">
        <v>50</v>
      </c>
      <c r="G9" s="18">
        <f t="shared" si="1"/>
        <v>600</v>
      </c>
    </row>
    <row r="10" spans="1:7" x14ac:dyDescent="0.25">
      <c r="A10" s="15">
        <v>12</v>
      </c>
      <c r="B10" s="16"/>
      <c r="C10" s="17" t="s">
        <v>309</v>
      </c>
      <c r="D10" s="18"/>
      <c r="E10" s="18" t="str">
        <f t="shared" si="0"/>
        <v/>
      </c>
      <c r="F10" s="18">
        <v>80</v>
      </c>
      <c r="G10" s="18">
        <f t="shared" si="1"/>
        <v>960</v>
      </c>
    </row>
    <row r="11" spans="1:7" x14ac:dyDescent="0.25">
      <c r="A11" s="15">
        <v>16</v>
      </c>
      <c r="B11" s="16"/>
      <c r="C11" s="17" t="s">
        <v>310</v>
      </c>
      <c r="D11" s="18"/>
      <c r="E11" s="18" t="str">
        <f t="shared" si="0"/>
        <v/>
      </c>
      <c r="F11" s="18">
        <v>85</v>
      </c>
      <c r="G11" s="18">
        <f t="shared" si="1"/>
        <v>1360</v>
      </c>
    </row>
    <row r="12" spans="1:7" x14ac:dyDescent="0.25">
      <c r="A12" s="15">
        <v>34</v>
      </c>
      <c r="B12" s="16"/>
      <c r="C12" s="17" t="s">
        <v>311</v>
      </c>
      <c r="D12" s="18"/>
      <c r="E12" s="18" t="str">
        <f t="shared" si="0"/>
        <v/>
      </c>
      <c r="F12" s="18">
        <v>65</v>
      </c>
      <c r="G12" s="18">
        <f t="shared" si="1"/>
        <v>2210</v>
      </c>
    </row>
    <row r="13" spans="1:7" x14ac:dyDescent="0.25">
      <c r="A13" s="15">
        <v>9</v>
      </c>
      <c r="B13" s="16"/>
      <c r="C13" s="17" t="s">
        <v>312</v>
      </c>
      <c r="D13" s="18"/>
      <c r="E13" s="18" t="str">
        <f t="shared" si="0"/>
        <v/>
      </c>
      <c r="F13" s="18">
        <v>80</v>
      </c>
      <c r="G13" s="18">
        <f t="shared" si="1"/>
        <v>720</v>
      </c>
    </row>
    <row r="14" spans="1:7" x14ac:dyDescent="0.25">
      <c r="A14" s="15">
        <v>24</v>
      </c>
      <c r="B14" s="16"/>
      <c r="C14" s="17" t="s">
        <v>313</v>
      </c>
      <c r="D14" s="18"/>
      <c r="E14" s="18" t="str">
        <f t="shared" si="0"/>
        <v/>
      </c>
      <c r="F14" s="18">
        <v>25</v>
      </c>
      <c r="G14" s="18">
        <f t="shared" si="1"/>
        <v>600</v>
      </c>
    </row>
    <row r="15" spans="1:7" x14ac:dyDescent="0.25">
      <c r="A15" s="15">
        <v>2</v>
      </c>
      <c r="B15" s="16"/>
      <c r="C15" s="17" t="s">
        <v>314</v>
      </c>
      <c r="D15" s="18"/>
      <c r="E15" s="18" t="str">
        <f t="shared" si="0"/>
        <v/>
      </c>
      <c r="F15" s="18">
        <v>25</v>
      </c>
      <c r="G15" s="18">
        <f t="shared" si="1"/>
        <v>50</v>
      </c>
    </row>
    <row r="16" spans="1:7" x14ac:dyDescent="0.25">
      <c r="A16" s="15">
        <v>3</v>
      </c>
      <c r="B16" s="16"/>
      <c r="C16" s="17" t="s">
        <v>315</v>
      </c>
      <c r="D16" s="18"/>
      <c r="E16" s="18" t="str">
        <f t="shared" si="0"/>
        <v/>
      </c>
      <c r="F16" s="18">
        <v>25</v>
      </c>
      <c r="G16" s="18">
        <f t="shared" si="1"/>
        <v>75</v>
      </c>
    </row>
    <row r="17" spans="1:7" x14ac:dyDescent="0.25">
      <c r="A17" s="15">
        <v>18</v>
      </c>
      <c r="B17" s="16"/>
      <c r="C17" s="17" t="s">
        <v>316</v>
      </c>
      <c r="D17" s="18"/>
      <c r="E17" s="18" t="str">
        <f t="shared" si="0"/>
        <v/>
      </c>
      <c r="F17" s="18">
        <v>25</v>
      </c>
      <c r="G17" s="18">
        <f t="shared" si="1"/>
        <v>450</v>
      </c>
    </row>
    <row r="18" spans="1:7" x14ac:dyDescent="0.25">
      <c r="A18" s="15">
        <v>7</v>
      </c>
      <c r="B18" s="16"/>
      <c r="C18" s="17" t="s">
        <v>317</v>
      </c>
      <c r="D18" s="18"/>
      <c r="E18" s="18" t="str">
        <f t="shared" si="0"/>
        <v/>
      </c>
      <c r="F18" s="18">
        <v>125</v>
      </c>
      <c r="G18" s="18">
        <f t="shared" si="1"/>
        <v>875</v>
      </c>
    </row>
    <row r="19" spans="1:7" x14ac:dyDescent="0.25">
      <c r="A19" s="15">
        <v>6</v>
      </c>
      <c r="B19" s="16"/>
      <c r="C19" s="17" t="s">
        <v>318</v>
      </c>
      <c r="D19" s="18"/>
      <c r="E19" s="18" t="str">
        <f t="shared" si="0"/>
        <v/>
      </c>
      <c r="F19" s="18">
        <v>90</v>
      </c>
      <c r="G19" s="18">
        <f t="shared" si="1"/>
        <v>540</v>
      </c>
    </row>
    <row r="20" spans="1:7" x14ac:dyDescent="0.25">
      <c r="A20" s="15">
        <v>5</v>
      </c>
      <c r="B20" s="16"/>
      <c r="C20" s="17" t="s">
        <v>319</v>
      </c>
      <c r="D20" s="18"/>
      <c r="E20" s="18" t="str">
        <f t="shared" si="0"/>
        <v/>
      </c>
      <c r="F20" s="18">
        <v>40</v>
      </c>
      <c r="G20" s="18">
        <f t="shared" si="1"/>
        <v>200</v>
      </c>
    </row>
    <row r="21" spans="1:7" x14ac:dyDescent="0.25">
      <c r="A21" s="15">
        <v>7</v>
      </c>
      <c r="B21" s="16"/>
      <c r="C21" s="17" t="s">
        <v>320</v>
      </c>
      <c r="D21" s="18"/>
      <c r="E21" s="18" t="str">
        <f t="shared" si="0"/>
        <v/>
      </c>
      <c r="F21" s="18">
        <v>30</v>
      </c>
      <c r="G21" s="18">
        <f t="shared" si="1"/>
        <v>210</v>
      </c>
    </row>
    <row r="22" spans="1:7" x14ac:dyDescent="0.25">
      <c r="A22" s="15">
        <v>4</v>
      </c>
      <c r="B22" s="16"/>
      <c r="C22" s="17" t="s">
        <v>321</v>
      </c>
      <c r="D22" s="18"/>
      <c r="E22" s="18" t="str">
        <f t="shared" si="0"/>
        <v/>
      </c>
      <c r="F22" s="18">
        <v>30</v>
      </c>
      <c r="G22" s="18">
        <f t="shared" si="1"/>
        <v>120</v>
      </c>
    </row>
    <row r="23" spans="1:7" x14ac:dyDescent="0.25">
      <c r="A23" s="15">
        <v>1</v>
      </c>
      <c r="B23" s="16"/>
      <c r="C23" s="17" t="s">
        <v>322</v>
      </c>
      <c r="D23" s="18"/>
      <c r="E23" s="18" t="str">
        <f t="shared" si="0"/>
        <v/>
      </c>
      <c r="F23" s="18">
        <v>30</v>
      </c>
      <c r="G23" s="18">
        <f t="shared" si="1"/>
        <v>30</v>
      </c>
    </row>
    <row r="24" spans="1:7" x14ac:dyDescent="0.25">
      <c r="A24" s="15">
        <v>3</v>
      </c>
      <c r="B24" s="16"/>
      <c r="C24" s="17" t="s">
        <v>323</v>
      </c>
      <c r="D24" s="18"/>
      <c r="E24" s="18" t="str">
        <f t="shared" si="0"/>
        <v/>
      </c>
      <c r="F24" s="18">
        <v>45</v>
      </c>
      <c r="G24" s="18">
        <f t="shared" si="1"/>
        <v>135</v>
      </c>
    </row>
    <row r="25" spans="1:7" x14ac:dyDescent="0.25">
      <c r="A25" s="15">
        <v>4</v>
      </c>
      <c r="B25" s="16"/>
      <c r="C25" s="17" t="s">
        <v>324</v>
      </c>
      <c r="D25" s="18"/>
      <c r="E25" s="18" t="str">
        <f t="shared" si="0"/>
        <v/>
      </c>
      <c r="F25" s="18">
        <v>40</v>
      </c>
      <c r="G25" s="18">
        <f t="shared" si="1"/>
        <v>160</v>
      </c>
    </row>
    <row r="26" spans="1:7" x14ac:dyDescent="0.25">
      <c r="A26" s="15">
        <v>4</v>
      </c>
      <c r="B26" s="16"/>
      <c r="C26" s="17" t="s">
        <v>325</v>
      </c>
      <c r="D26" s="18"/>
      <c r="E26" s="18" t="str">
        <f t="shared" si="0"/>
        <v/>
      </c>
      <c r="F26" s="18">
        <v>40</v>
      </c>
      <c r="G26" s="18">
        <f t="shared" si="1"/>
        <v>160</v>
      </c>
    </row>
    <row r="27" spans="1:7" x14ac:dyDescent="0.25">
      <c r="C27" s="10" t="s">
        <v>167</v>
      </c>
      <c r="E27" s="11">
        <f>SUM(E8:E26)</f>
        <v>0</v>
      </c>
      <c r="G27" s="11">
        <f>SUM(G8:G26)</f>
        <v>9530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10</v>
      </c>
      <c r="G5" s="6" t="s">
        <v>36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9</v>
      </c>
      <c r="B8" s="16"/>
      <c r="C8" s="17" t="s">
        <v>326</v>
      </c>
      <c r="D8" s="18"/>
      <c r="E8" s="18" t="str">
        <f t="shared" ref="E8:E15" si="0">IF(ISNUMBER(D8), A8*D8, "")</f>
        <v/>
      </c>
      <c r="F8" s="18">
        <v>190</v>
      </c>
      <c r="G8" s="18">
        <f t="shared" ref="G8:G15" si="1">A8*F8</f>
        <v>1710</v>
      </c>
    </row>
    <row r="9" spans="1:7" x14ac:dyDescent="0.25">
      <c r="A9" s="15">
        <v>2</v>
      </c>
      <c r="B9" s="16"/>
      <c r="C9" s="17" t="s">
        <v>327</v>
      </c>
      <c r="D9" s="18"/>
      <c r="E9" s="18" t="str">
        <f t="shared" si="0"/>
        <v/>
      </c>
      <c r="F9" s="18">
        <v>160</v>
      </c>
      <c r="G9" s="18">
        <f t="shared" si="1"/>
        <v>320</v>
      </c>
    </row>
    <row r="10" spans="1:7" x14ac:dyDescent="0.25">
      <c r="A10" s="15">
        <v>3</v>
      </c>
      <c r="B10" s="16"/>
      <c r="C10" s="17" t="s">
        <v>328</v>
      </c>
      <c r="D10" s="18"/>
      <c r="E10" s="18" t="str">
        <f t="shared" si="0"/>
        <v/>
      </c>
      <c r="F10" s="18">
        <v>160</v>
      </c>
      <c r="G10" s="18">
        <f t="shared" si="1"/>
        <v>480</v>
      </c>
    </row>
    <row r="11" spans="1:7" x14ac:dyDescent="0.25">
      <c r="A11" s="15">
        <v>10</v>
      </c>
      <c r="B11" s="16"/>
      <c r="C11" s="17" t="s">
        <v>329</v>
      </c>
      <c r="D11" s="18"/>
      <c r="E11" s="18" t="str">
        <f t="shared" si="0"/>
        <v/>
      </c>
      <c r="F11" s="18">
        <v>190</v>
      </c>
      <c r="G11" s="18">
        <f t="shared" si="1"/>
        <v>1900</v>
      </c>
    </row>
    <row r="12" spans="1:7" x14ac:dyDescent="0.25">
      <c r="A12" s="15">
        <v>3</v>
      </c>
      <c r="B12" s="16"/>
      <c r="C12" s="17" t="s">
        <v>330</v>
      </c>
      <c r="D12" s="18"/>
      <c r="E12" s="18" t="str">
        <f t="shared" si="0"/>
        <v/>
      </c>
      <c r="F12" s="18">
        <v>160</v>
      </c>
      <c r="G12" s="18">
        <f t="shared" si="1"/>
        <v>480</v>
      </c>
    </row>
    <row r="13" spans="1:7" x14ac:dyDescent="0.25">
      <c r="A13" s="15">
        <v>1</v>
      </c>
      <c r="B13" s="16"/>
      <c r="C13" s="17" t="s">
        <v>331</v>
      </c>
      <c r="D13" s="18"/>
      <c r="E13" s="18" t="str">
        <f t="shared" si="0"/>
        <v/>
      </c>
      <c r="F13" s="18">
        <v>125</v>
      </c>
      <c r="G13" s="18">
        <f t="shared" si="1"/>
        <v>125</v>
      </c>
    </row>
    <row r="14" spans="1:7" x14ac:dyDescent="0.25">
      <c r="A14" s="15">
        <v>5</v>
      </c>
      <c r="B14" s="16"/>
      <c r="C14" s="17" t="s">
        <v>332</v>
      </c>
      <c r="D14" s="18"/>
      <c r="E14" s="18" t="str">
        <f t="shared" si="0"/>
        <v/>
      </c>
      <c r="F14" s="18">
        <v>390</v>
      </c>
      <c r="G14" s="18">
        <f t="shared" si="1"/>
        <v>1950</v>
      </c>
    </row>
    <row r="15" spans="1:7" x14ac:dyDescent="0.25">
      <c r="A15" s="15">
        <v>8</v>
      </c>
      <c r="B15" s="16"/>
      <c r="C15" s="17" t="s">
        <v>333</v>
      </c>
      <c r="D15" s="18"/>
      <c r="E15" s="18" t="str">
        <f t="shared" si="0"/>
        <v/>
      </c>
      <c r="F15" s="18">
        <v>190</v>
      </c>
      <c r="G15" s="18">
        <f t="shared" si="1"/>
        <v>1520</v>
      </c>
    </row>
    <row r="16" spans="1:7" x14ac:dyDescent="0.25">
      <c r="C16" s="10" t="s">
        <v>167</v>
      </c>
      <c r="E16" s="11">
        <f>SUM(E8:E15)</f>
        <v>0</v>
      </c>
      <c r="G16" s="11">
        <f>SUM(G8:G15)</f>
        <v>8485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39</v>
      </c>
      <c r="G5" s="6" t="s">
        <v>38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5</v>
      </c>
      <c r="B8" s="16"/>
      <c r="C8" s="17" t="s">
        <v>334</v>
      </c>
      <c r="D8" s="18"/>
      <c r="E8" s="18" t="str">
        <f t="shared" ref="E8:E19" si="0">IF(ISNUMBER(D8), A8*D8, "")</f>
        <v/>
      </c>
      <c r="F8" s="18">
        <v>101</v>
      </c>
      <c r="G8" s="18">
        <f t="shared" ref="G8:G19" si="1">A8*F8</f>
        <v>505</v>
      </c>
    </row>
    <row r="9" spans="1:7" x14ac:dyDescent="0.25">
      <c r="A9" s="15">
        <v>5</v>
      </c>
      <c r="B9" s="16"/>
      <c r="C9" s="17" t="s">
        <v>335</v>
      </c>
      <c r="D9" s="18"/>
      <c r="E9" s="18" t="str">
        <f t="shared" si="0"/>
        <v/>
      </c>
      <c r="F9" s="18">
        <v>78.290000000000006</v>
      </c>
      <c r="G9" s="18">
        <f t="shared" si="1"/>
        <v>391.45000000000005</v>
      </c>
    </row>
    <row r="10" spans="1:7" x14ac:dyDescent="0.25">
      <c r="A10" s="15">
        <v>6</v>
      </c>
      <c r="B10" s="16"/>
      <c r="C10" s="17" t="s">
        <v>336</v>
      </c>
      <c r="D10" s="18"/>
      <c r="E10" s="18" t="str">
        <f t="shared" si="0"/>
        <v/>
      </c>
      <c r="F10" s="18">
        <v>70</v>
      </c>
      <c r="G10" s="18">
        <f t="shared" si="1"/>
        <v>420</v>
      </c>
    </row>
    <row r="11" spans="1:7" x14ac:dyDescent="0.25">
      <c r="A11" s="15">
        <v>4</v>
      </c>
      <c r="B11" s="16"/>
      <c r="C11" s="17" t="s">
        <v>337</v>
      </c>
      <c r="D11" s="18"/>
      <c r="E11" s="18" t="str">
        <f t="shared" si="0"/>
        <v/>
      </c>
      <c r="F11" s="18">
        <v>60</v>
      </c>
      <c r="G11" s="18">
        <f t="shared" si="1"/>
        <v>240</v>
      </c>
    </row>
    <row r="12" spans="1:7" x14ac:dyDescent="0.25">
      <c r="A12" s="15">
        <v>5</v>
      </c>
      <c r="B12" s="16"/>
      <c r="C12" s="17" t="s">
        <v>338</v>
      </c>
      <c r="D12" s="18"/>
      <c r="E12" s="18" t="str">
        <f t="shared" si="0"/>
        <v/>
      </c>
      <c r="F12" s="18">
        <v>51.09</v>
      </c>
      <c r="G12" s="18">
        <f t="shared" si="1"/>
        <v>255.45000000000002</v>
      </c>
    </row>
    <row r="13" spans="1:7" x14ac:dyDescent="0.25">
      <c r="A13" s="15">
        <v>8</v>
      </c>
      <c r="B13" s="16"/>
      <c r="C13" s="17" t="s">
        <v>339</v>
      </c>
      <c r="D13" s="18"/>
      <c r="E13" s="18" t="str">
        <f t="shared" si="0"/>
        <v/>
      </c>
      <c r="F13" s="18">
        <v>140</v>
      </c>
      <c r="G13" s="18">
        <f t="shared" si="1"/>
        <v>1120</v>
      </c>
    </row>
    <row r="14" spans="1:7" x14ac:dyDescent="0.25">
      <c r="A14" s="15">
        <v>8</v>
      </c>
      <c r="B14" s="16"/>
      <c r="C14" s="17" t="s">
        <v>340</v>
      </c>
      <c r="D14" s="18"/>
      <c r="E14" s="18" t="str">
        <f t="shared" si="0"/>
        <v/>
      </c>
      <c r="F14" s="18">
        <v>120</v>
      </c>
      <c r="G14" s="18">
        <f t="shared" si="1"/>
        <v>960</v>
      </c>
    </row>
    <row r="15" spans="1:7" x14ac:dyDescent="0.25">
      <c r="A15" s="15">
        <v>9</v>
      </c>
      <c r="B15" s="16"/>
      <c r="C15" s="17" t="s">
        <v>341</v>
      </c>
      <c r="D15" s="18"/>
      <c r="E15" s="18" t="str">
        <f t="shared" si="0"/>
        <v/>
      </c>
      <c r="F15" s="18">
        <v>100</v>
      </c>
      <c r="G15" s="18">
        <f t="shared" si="1"/>
        <v>900</v>
      </c>
    </row>
    <row r="16" spans="1:7" x14ac:dyDescent="0.25">
      <c r="A16" s="15">
        <v>6</v>
      </c>
      <c r="B16" s="16"/>
      <c r="C16" s="17" t="s">
        <v>342</v>
      </c>
      <c r="D16" s="18"/>
      <c r="E16" s="18" t="str">
        <f t="shared" si="0"/>
        <v/>
      </c>
      <c r="F16" s="18">
        <v>90</v>
      </c>
      <c r="G16" s="18">
        <f t="shared" si="1"/>
        <v>540</v>
      </c>
    </row>
    <row r="17" spans="1:7" x14ac:dyDescent="0.25">
      <c r="A17" s="15">
        <v>7</v>
      </c>
      <c r="B17" s="16"/>
      <c r="C17" s="17" t="s">
        <v>343</v>
      </c>
      <c r="D17" s="18"/>
      <c r="E17" s="18" t="str">
        <f t="shared" si="0"/>
        <v/>
      </c>
      <c r="F17" s="18">
        <v>70</v>
      </c>
      <c r="G17" s="18">
        <f t="shared" si="1"/>
        <v>490</v>
      </c>
    </row>
    <row r="18" spans="1:7" x14ac:dyDescent="0.25">
      <c r="A18" s="15">
        <v>5</v>
      </c>
      <c r="B18" s="16"/>
      <c r="C18" s="17" t="s">
        <v>344</v>
      </c>
      <c r="D18" s="18"/>
      <c r="E18" s="18" t="str">
        <f t="shared" si="0"/>
        <v/>
      </c>
      <c r="F18" s="18">
        <v>170</v>
      </c>
      <c r="G18" s="18">
        <f t="shared" si="1"/>
        <v>850</v>
      </c>
    </row>
    <row r="19" spans="1:7" x14ac:dyDescent="0.25">
      <c r="A19" s="15">
        <v>14</v>
      </c>
      <c r="B19" s="16"/>
      <c r="C19" s="17" t="s">
        <v>345</v>
      </c>
      <c r="D19" s="18"/>
      <c r="E19" s="18" t="str">
        <f t="shared" si="0"/>
        <v/>
      </c>
      <c r="F19" s="18">
        <v>145</v>
      </c>
      <c r="G19" s="18">
        <f t="shared" si="1"/>
        <v>2030</v>
      </c>
    </row>
    <row r="20" spans="1:7" x14ac:dyDescent="0.25">
      <c r="C20" s="10" t="s">
        <v>167</v>
      </c>
      <c r="E20" s="11">
        <f>SUM(E8:E19)</f>
        <v>0</v>
      </c>
      <c r="G20" s="11">
        <f>SUM(G8:G19)</f>
        <v>8701.9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39</v>
      </c>
      <c r="G5" s="6" t="s">
        <v>41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17</v>
      </c>
      <c r="B8" s="16"/>
      <c r="C8" s="17" t="s">
        <v>346</v>
      </c>
      <c r="D8" s="18"/>
      <c r="E8" s="18" t="str">
        <f>IF(ISNUMBER(D8), A8*D8, "")</f>
        <v/>
      </c>
      <c r="F8" s="18">
        <v>55</v>
      </c>
      <c r="G8" s="18">
        <f>A8*F8</f>
        <v>935</v>
      </c>
    </row>
    <row r="9" spans="1:7" x14ac:dyDescent="0.25">
      <c r="A9" s="15">
        <v>17</v>
      </c>
      <c r="B9" s="16"/>
      <c r="C9" s="17" t="s">
        <v>347</v>
      </c>
      <c r="D9" s="18"/>
      <c r="E9" s="18" t="str">
        <f>IF(ISNUMBER(D9), A9*D9, "")</f>
        <v/>
      </c>
      <c r="F9" s="18">
        <v>55</v>
      </c>
      <c r="G9" s="18">
        <f>A9*F9</f>
        <v>935</v>
      </c>
    </row>
    <row r="10" spans="1:7" x14ac:dyDescent="0.25">
      <c r="A10" s="15">
        <v>5</v>
      </c>
      <c r="B10" s="16"/>
      <c r="C10" s="17" t="s">
        <v>348</v>
      </c>
      <c r="D10" s="18"/>
      <c r="E10" s="18" t="str">
        <f>IF(ISNUMBER(D10), A10*D10, "")</f>
        <v/>
      </c>
      <c r="F10" s="18">
        <v>140</v>
      </c>
      <c r="G10" s="18">
        <f>A10*F10</f>
        <v>700</v>
      </c>
    </row>
    <row r="11" spans="1:7" x14ac:dyDescent="0.25">
      <c r="A11" s="15">
        <v>53</v>
      </c>
      <c r="B11" s="16"/>
      <c r="C11" s="17" t="s">
        <v>349</v>
      </c>
      <c r="D11" s="18"/>
      <c r="E11" s="18" t="str">
        <f>IF(ISNUMBER(D11), A11*D11, "")</f>
        <v/>
      </c>
      <c r="F11" s="18">
        <v>275</v>
      </c>
      <c r="G11" s="18">
        <f>A11*F11</f>
        <v>14575</v>
      </c>
    </row>
    <row r="12" spans="1:7" x14ac:dyDescent="0.25">
      <c r="A12" s="15">
        <v>4</v>
      </c>
      <c r="B12" s="16"/>
      <c r="C12" s="17" t="s">
        <v>350</v>
      </c>
      <c r="D12" s="18"/>
      <c r="E12" s="18" t="str">
        <f>IF(ISNUMBER(D12), A12*D12, "")</f>
        <v/>
      </c>
      <c r="F12" s="18">
        <v>210</v>
      </c>
      <c r="G12" s="18">
        <f>A12*F12</f>
        <v>840</v>
      </c>
    </row>
    <row r="13" spans="1:7" x14ac:dyDescent="0.25">
      <c r="C13" s="10" t="s">
        <v>167</v>
      </c>
      <c r="E13" s="11">
        <f>SUM(E8:E12)</f>
        <v>0</v>
      </c>
      <c r="G13" s="11">
        <f>SUM(G8:G12)</f>
        <v>17985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27</v>
      </c>
      <c r="G5" s="6" t="s">
        <v>43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2</v>
      </c>
      <c r="B8" s="16"/>
      <c r="C8" s="17" t="s">
        <v>351</v>
      </c>
      <c r="D8" s="18"/>
      <c r="E8" s="18" t="str">
        <f t="shared" ref="E8:E24" si="0">IF(ISNUMBER(D8), A8*D8, "")</f>
        <v/>
      </c>
      <c r="F8" s="18">
        <v>270</v>
      </c>
      <c r="G8" s="18">
        <f t="shared" ref="G8:G24" si="1">A8*F8</f>
        <v>540</v>
      </c>
    </row>
    <row r="9" spans="1:7" x14ac:dyDescent="0.25">
      <c r="A9" s="15">
        <v>10</v>
      </c>
      <c r="B9" s="16"/>
      <c r="C9" s="17" t="s">
        <v>352</v>
      </c>
      <c r="D9" s="18"/>
      <c r="E9" s="18" t="str">
        <f t="shared" si="0"/>
        <v/>
      </c>
      <c r="F9" s="18">
        <v>130</v>
      </c>
      <c r="G9" s="18">
        <f t="shared" si="1"/>
        <v>1300</v>
      </c>
    </row>
    <row r="10" spans="1:7" x14ac:dyDescent="0.25">
      <c r="A10" s="15">
        <v>2</v>
      </c>
      <c r="B10" s="16"/>
      <c r="C10" s="17" t="s">
        <v>138</v>
      </c>
      <c r="D10" s="18"/>
      <c r="E10" s="18" t="str">
        <f t="shared" si="0"/>
        <v/>
      </c>
      <c r="F10" s="18">
        <v>115</v>
      </c>
      <c r="G10" s="18">
        <f t="shared" si="1"/>
        <v>230</v>
      </c>
    </row>
    <row r="11" spans="1:7" x14ac:dyDescent="0.25">
      <c r="A11" s="15">
        <v>3</v>
      </c>
      <c r="B11" s="16"/>
      <c r="C11" s="17" t="s">
        <v>137</v>
      </c>
      <c r="D11" s="18"/>
      <c r="E11" s="18" t="str">
        <f t="shared" si="0"/>
        <v/>
      </c>
      <c r="F11" s="18">
        <v>115</v>
      </c>
      <c r="G11" s="18">
        <f t="shared" si="1"/>
        <v>345</v>
      </c>
    </row>
    <row r="12" spans="1:7" x14ac:dyDescent="0.25">
      <c r="A12" s="15">
        <v>2</v>
      </c>
      <c r="B12" s="16"/>
      <c r="C12" s="17" t="s">
        <v>353</v>
      </c>
      <c r="D12" s="18"/>
      <c r="E12" s="18" t="str">
        <f t="shared" si="0"/>
        <v/>
      </c>
      <c r="F12" s="18">
        <v>135</v>
      </c>
      <c r="G12" s="18">
        <f t="shared" si="1"/>
        <v>270</v>
      </c>
    </row>
    <row r="13" spans="1:7" x14ac:dyDescent="0.25">
      <c r="A13" s="15">
        <v>2</v>
      </c>
      <c r="B13" s="16"/>
      <c r="C13" s="17" t="s">
        <v>354</v>
      </c>
      <c r="D13" s="18"/>
      <c r="E13" s="18" t="str">
        <f t="shared" si="0"/>
        <v/>
      </c>
      <c r="F13" s="18">
        <v>250</v>
      </c>
      <c r="G13" s="18">
        <f t="shared" si="1"/>
        <v>500</v>
      </c>
    </row>
    <row r="14" spans="1:7" x14ac:dyDescent="0.25">
      <c r="A14" s="15">
        <v>1</v>
      </c>
      <c r="B14" s="16"/>
      <c r="C14" s="17" t="s">
        <v>355</v>
      </c>
      <c r="D14" s="18"/>
      <c r="E14" s="18" t="str">
        <f t="shared" si="0"/>
        <v/>
      </c>
      <c r="F14" s="18">
        <v>150</v>
      </c>
      <c r="G14" s="18">
        <f t="shared" si="1"/>
        <v>150</v>
      </c>
    </row>
    <row r="15" spans="1:7" x14ac:dyDescent="0.25">
      <c r="A15" s="15">
        <v>2</v>
      </c>
      <c r="B15" s="16"/>
      <c r="C15" s="17" t="s">
        <v>356</v>
      </c>
      <c r="D15" s="18"/>
      <c r="E15" s="18" t="str">
        <f t="shared" si="0"/>
        <v/>
      </c>
      <c r="F15" s="18">
        <v>150</v>
      </c>
      <c r="G15" s="18">
        <f t="shared" si="1"/>
        <v>300</v>
      </c>
    </row>
    <row r="16" spans="1:7" x14ac:dyDescent="0.25">
      <c r="A16" s="15">
        <v>1</v>
      </c>
      <c r="B16" s="16"/>
      <c r="C16" s="17" t="s">
        <v>357</v>
      </c>
      <c r="D16" s="18"/>
      <c r="E16" s="18" t="str">
        <f t="shared" si="0"/>
        <v/>
      </c>
      <c r="F16" s="18">
        <v>270</v>
      </c>
      <c r="G16" s="18">
        <f t="shared" si="1"/>
        <v>270</v>
      </c>
    </row>
    <row r="17" spans="1:7" x14ac:dyDescent="0.25">
      <c r="A17" s="15">
        <v>1</v>
      </c>
      <c r="B17" s="16"/>
      <c r="C17" s="17" t="s">
        <v>208</v>
      </c>
      <c r="D17" s="18"/>
      <c r="E17" s="18" t="str">
        <f t="shared" si="0"/>
        <v/>
      </c>
      <c r="F17" s="18">
        <v>425</v>
      </c>
      <c r="G17" s="18">
        <f t="shared" si="1"/>
        <v>425</v>
      </c>
    </row>
    <row r="18" spans="1:7" x14ac:dyDescent="0.25">
      <c r="A18" s="15">
        <v>7</v>
      </c>
      <c r="B18" s="16"/>
      <c r="C18" s="17" t="s">
        <v>358</v>
      </c>
      <c r="D18" s="18"/>
      <c r="E18" s="18" t="str">
        <f t="shared" si="0"/>
        <v/>
      </c>
      <c r="F18" s="18">
        <v>35</v>
      </c>
      <c r="G18" s="18">
        <f t="shared" si="1"/>
        <v>245</v>
      </c>
    </row>
    <row r="19" spans="1:7" x14ac:dyDescent="0.25">
      <c r="A19" s="15">
        <v>5</v>
      </c>
      <c r="B19" s="16"/>
      <c r="C19" s="17" t="s">
        <v>359</v>
      </c>
      <c r="D19" s="18"/>
      <c r="E19" s="18" t="str">
        <f t="shared" si="0"/>
        <v/>
      </c>
      <c r="F19" s="18">
        <v>20</v>
      </c>
      <c r="G19" s="18">
        <f t="shared" si="1"/>
        <v>100</v>
      </c>
    </row>
    <row r="20" spans="1:7" x14ac:dyDescent="0.25">
      <c r="A20" s="15">
        <v>5</v>
      </c>
      <c r="B20" s="16"/>
      <c r="C20" s="17" t="s">
        <v>360</v>
      </c>
      <c r="D20" s="18"/>
      <c r="E20" s="18" t="str">
        <f t="shared" si="0"/>
        <v/>
      </c>
      <c r="F20" s="18">
        <v>110</v>
      </c>
      <c r="G20" s="18">
        <f t="shared" si="1"/>
        <v>550</v>
      </c>
    </row>
    <row r="21" spans="1:7" x14ac:dyDescent="0.25">
      <c r="A21" s="15">
        <v>3</v>
      </c>
      <c r="B21" s="16"/>
      <c r="C21" s="17" t="s">
        <v>361</v>
      </c>
      <c r="D21" s="18"/>
      <c r="E21" s="18" t="str">
        <f t="shared" si="0"/>
        <v/>
      </c>
      <c r="F21" s="18">
        <v>65</v>
      </c>
      <c r="G21" s="18">
        <f t="shared" si="1"/>
        <v>195</v>
      </c>
    </row>
    <row r="22" spans="1:7" x14ac:dyDescent="0.25">
      <c r="A22" s="15">
        <v>2</v>
      </c>
      <c r="B22" s="16"/>
      <c r="C22" s="17" t="s">
        <v>362</v>
      </c>
      <c r="D22" s="18"/>
      <c r="E22" s="18" t="str">
        <f t="shared" si="0"/>
        <v/>
      </c>
      <c r="F22" s="18">
        <v>86</v>
      </c>
      <c r="G22" s="18">
        <f t="shared" si="1"/>
        <v>172</v>
      </c>
    </row>
    <row r="23" spans="1:7" x14ac:dyDescent="0.25">
      <c r="A23" s="15">
        <v>49</v>
      </c>
      <c r="B23" s="16"/>
      <c r="C23" s="17" t="s">
        <v>363</v>
      </c>
      <c r="D23" s="18"/>
      <c r="E23" s="18" t="str">
        <f t="shared" si="0"/>
        <v/>
      </c>
      <c r="F23" s="18">
        <v>50</v>
      </c>
      <c r="G23" s="18">
        <f t="shared" si="1"/>
        <v>2450</v>
      </c>
    </row>
    <row r="24" spans="1:7" x14ac:dyDescent="0.25">
      <c r="A24" s="15">
        <v>49</v>
      </c>
      <c r="B24" s="16"/>
      <c r="C24" s="17" t="s">
        <v>364</v>
      </c>
      <c r="D24" s="18"/>
      <c r="E24" s="18" t="str">
        <f t="shared" si="0"/>
        <v/>
      </c>
      <c r="F24" s="18">
        <v>45</v>
      </c>
      <c r="G24" s="18">
        <f t="shared" si="1"/>
        <v>2205</v>
      </c>
    </row>
    <row r="25" spans="1:7" x14ac:dyDescent="0.25">
      <c r="C25" s="10" t="s">
        <v>167</v>
      </c>
      <c r="E25" s="11">
        <f>SUM(E8:E24)</f>
        <v>0</v>
      </c>
      <c r="G25" s="11">
        <f>SUM(G8:G24)</f>
        <v>10247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32</v>
      </c>
      <c r="G5" s="6" t="s">
        <v>45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4</v>
      </c>
      <c r="B8" s="16"/>
      <c r="C8" s="17" t="s">
        <v>131</v>
      </c>
      <c r="D8" s="18"/>
      <c r="E8" s="18" t="str">
        <f t="shared" ref="E8:E13" si="0">IF(ISNUMBER(D8), A8*D8, "")</f>
        <v/>
      </c>
      <c r="F8" s="18">
        <v>55</v>
      </c>
      <c r="G8" s="18">
        <f t="shared" ref="G8:G13" si="1">A8*F8</f>
        <v>220</v>
      </c>
    </row>
    <row r="9" spans="1:7" x14ac:dyDescent="0.25">
      <c r="A9" s="15">
        <v>10</v>
      </c>
      <c r="B9" s="16"/>
      <c r="C9" s="17" t="s">
        <v>365</v>
      </c>
      <c r="D9" s="18"/>
      <c r="E9" s="18" t="str">
        <f t="shared" si="0"/>
        <v/>
      </c>
      <c r="F9" s="18">
        <v>75</v>
      </c>
      <c r="G9" s="18">
        <f t="shared" si="1"/>
        <v>750</v>
      </c>
    </row>
    <row r="10" spans="1:7" x14ac:dyDescent="0.25">
      <c r="A10" s="15">
        <v>1</v>
      </c>
      <c r="B10" s="16"/>
      <c r="C10" s="17" t="s">
        <v>366</v>
      </c>
      <c r="D10" s="18"/>
      <c r="E10" s="18" t="str">
        <f t="shared" si="0"/>
        <v/>
      </c>
      <c r="F10" s="18">
        <v>70</v>
      </c>
      <c r="G10" s="18">
        <f t="shared" si="1"/>
        <v>70</v>
      </c>
    </row>
    <row r="11" spans="1:7" x14ac:dyDescent="0.25">
      <c r="A11" s="15">
        <v>1</v>
      </c>
      <c r="B11" s="16"/>
      <c r="C11" s="17" t="s">
        <v>367</v>
      </c>
      <c r="D11" s="18"/>
      <c r="E11" s="18" t="str">
        <f t="shared" si="0"/>
        <v/>
      </c>
      <c r="F11" s="18">
        <v>600</v>
      </c>
      <c r="G11" s="18">
        <f t="shared" si="1"/>
        <v>600</v>
      </c>
    </row>
    <row r="12" spans="1:7" x14ac:dyDescent="0.25">
      <c r="A12" s="15">
        <v>1</v>
      </c>
      <c r="B12" s="16"/>
      <c r="C12" s="17" t="s">
        <v>368</v>
      </c>
      <c r="D12" s="18"/>
      <c r="E12" s="18" t="str">
        <f t="shared" si="0"/>
        <v/>
      </c>
      <c r="F12" s="18">
        <v>510</v>
      </c>
      <c r="G12" s="18">
        <f t="shared" si="1"/>
        <v>510</v>
      </c>
    </row>
    <row r="13" spans="1:7" x14ac:dyDescent="0.25">
      <c r="A13" s="15">
        <v>3</v>
      </c>
      <c r="B13" s="16"/>
      <c r="C13" s="17" t="s">
        <v>369</v>
      </c>
      <c r="D13" s="18"/>
      <c r="E13" s="18" t="str">
        <f t="shared" si="0"/>
        <v/>
      </c>
      <c r="F13" s="18">
        <v>590</v>
      </c>
      <c r="G13" s="18">
        <f t="shared" si="1"/>
        <v>1770</v>
      </c>
    </row>
    <row r="14" spans="1:7" x14ac:dyDescent="0.25">
      <c r="C14" s="10" t="s">
        <v>167</v>
      </c>
      <c r="E14" s="11">
        <f>SUM(E8:E13)</f>
        <v>0</v>
      </c>
      <c r="G14" s="11">
        <f>SUM(G8:G13)</f>
        <v>3920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0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32</v>
      </c>
      <c r="G5" s="6" t="s">
        <v>47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12</v>
      </c>
      <c r="B8" s="16"/>
      <c r="C8" s="17" t="s">
        <v>370</v>
      </c>
      <c r="D8" s="18"/>
      <c r="E8" s="18" t="str">
        <f t="shared" ref="E8:E29" si="0">IF(ISNUMBER(D8), A8*D8, "")</f>
        <v/>
      </c>
      <c r="F8" s="18">
        <v>15</v>
      </c>
      <c r="G8" s="18">
        <f t="shared" ref="G8:G29" si="1">A8*F8</f>
        <v>180</v>
      </c>
    </row>
    <row r="9" spans="1:7" x14ac:dyDescent="0.25">
      <c r="A9" s="15">
        <v>52</v>
      </c>
      <c r="B9" s="16"/>
      <c r="C9" s="17" t="s">
        <v>371</v>
      </c>
      <c r="D9" s="18"/>
      <c r="E9" s="18" t="str">
        <f t="shared" si="0"/>
        <v/>
      </c>
      <c r="F9" s="18">
        <v>15</v>
      </c>
      <c r="G9" s="18">
        <f t="shared" si="1"/>
        <v>780</v>
      </c>
    </row>
    <row r="10" spans="1:7" x14ac:dyDescent="0.25">
      <c r="A10" s="15">
        <v>35</v>
      </c>
      <c r="B10" s="16"/>
      <c r="C10" s="17" t="s">
        <v>372</v>
      </c>
      <c r="D10" s="18"/>
      <c r="E10" s="18" t="str">
        <f t="shared" si="0"/>
        <v/>
      </c>
      <c r="F10" s="18">
        <v>20</v>
      </c>
      <c r="G10" s="18">
        <f t="shared" si="1"/>
        <v>700</v>
      </c>
    </row>
    <row r="11" spans="1:7" x14ac:dyDescent="0.25">
      <c r="A11" s="15">
        <v>29</v>
      </c>
      <c r="B11" s="16"/>
      <c r="C11" s="17" t="s">
        <v>373</v>
      </c>
      <c r="D11" s="18"/>
      <c r="E11" s="18" t="str">
        <f t="shared" si="0"/>
        <v/>
      </c>
      <c r="F11" s="18">
        <v>15</v>
      </c>
      <c r="G11" s="18">
        <f t="shared" si="1"/>
        <v>435</v>
      </c>
    </row>
    <row r="12" spans="1:7" x14ac:dyDescent="0.25">
      <c r="A12" s="15">
        <v>49</v>
      </c>
      <c r="B12" s="16"/>
      <c r="C12" s="17" t="s">
        <v>374</v>
      </c>
      <c r="D12" s="18"/>
      <c r="E12" s="18" t="str">
        <f t="shared" si="0"/>
        <v/>
      </c>
      <c r="F12" s="18">
        <v>20</v>
      </c>
      <c r="G12" s="18">
        <f t="shared" si="1"/>
        <v>980</v>
      </c>
    </row>
    <row r="13" spans="1:7" x14ac:dyDescent="0.25">
      <c r="A13" s="15">
        <v>6</v>
      </c>
      <c r="B13" s="16"/>
      <c r="C13" s="17" t="s">
        <v>375</v>
      </c>
      <c r="D13" s="18"/>
      <c r="E13" s="18" t="str">
        <f t="shared" si="0"/>
        <v/>
      </c>
      <c r="F13" s="18">
        <v>20</v>
      </c>
      <c r="G13" s="18">
        <f t="shared" si="1"/>
        <v>120</v>
      </c>
    </row>
    <row r="14" spans="1:7" x14ac:dyDescent="0.25">
      <c r="A14" s="15">
        <v>21</v>
      </c>
      <c r="B14" s="16"/>
      <c r="C14" s="17" t="s">
        <v>376</v>
      </c>
      <c r="D14" s="18"/>
      <c r="E14" s="18" t="str">
        <f t="shared" si="0"/>
        <v/>
      </c>
      <c r="F14" s="18">
        <v>15</v>
      </c>
      <c r="G14" s="18">
        <f t="shared" si="1"/>
        <v>315</v>
      </c>
    </row>
    <row r="15" spans="1:7" x14ac:dyDescent="0.25">
      <c r="A15" s="15">
        <v>23</v>
      </c>
      <c r="B15" s="16"/>
      <c r="C15" s="17" t="s">
        <v>377</v>
      </c>
      <c r="D15" s="18"/>
      <c r="E15" s="18" t="str">
        <f t="shared" si="0"/>
        <v/>
      </c>
      <c r="F15" s="18">
        <v>15</v>
      </c>
      <c r="G15" s="18">
        <f t="shared" si="1"/>
        <v>345</v>
      </c>
    </row>
    <row r="16" spans="1:7" x14ac:dyDescent="0.25">
      <c r="A16" s="15">
        <v>10</v>
      </c>
      <c r="B16" s="16"/>
      <c r="C16" s="17" t="s">
        <v>378</v>
      </c>
      <c r="D16" s="18"/>
      <c r="E16" s="18" t="str">
        <f t="shared" si="0"/>
        <v/>
      </c>
      <c r="F16" s="18">
        <v>20</v>
      </c>
      <c r="G16" s="18">
        <f t="shared" si="1"/>
        <v>200</v>
      </c>
    </row>
    <row r="17" spans="1:7" x14ac:dyDescent="0.25">
      <c r="A17" s="15">
        <v>4</v>
      </c>
      <c r="B17" s="16"/>
      <c r="C17" s="17" t="s">
        <v>379</v>
      </c>
      <c r="D17" s="18"/>
      <c r="E17" s="18" t="str">
        <f t="shared" si="0"/>
        <v/>
      </c>
      <c r="F17" s="18">
        <v>15</v>
      </c>
      <c r="G17" s="18">
        <f t="shared" si="1"/>
        <v>60</v>
      </c>
    </row>
    <row r="18" spans="1:7" x14ac:dyDescent="0.25">
      <c r="A18" s="15">
        <v>16</v>
      </c>
      <c r="B18" s="16"/>
      <c r="C18" s="17" t="s">
        <v>380</v>
      </c>
      <c r="D18" s="18"/>
      <c r="E18" s="18" t="str">
        <f t="shared" si="0"/>
        <v/>
      </c>
      <c r="F18" s="18">
        <v>20</v>
      </c>
      <c r="G18" s="18">
        <f t="shared" si="1"/>
        <v>320</v>
      </c>
    </row>
    <row r="19" spans="1:7" x14ac:dyDescent="0.25">
      <c r="A19" s="15">
        <v>38</v>
      </c>
      <c r="B19" s="16"/>
      <c r="C19" s="17" t="s">
        <v>381</v>
      </c>
      <c r="D19" s="18"/>
      <c r="E19" s="18" t="str">
        <f t="shared" si="0"/>
        <v/>
      </c>
      <c r="F19" s="18">
        <v>15</v>
      </c>
      <c r="G19" s="18">
        <f t="shared" si="1"/>
        <v>570</v>
      </c>
    </row>
    <row r="20" spans="1:7" x14ac:dyDescent="0.25">
      <c r="A20" s="15">
        <v>10</v>
      </c>
      <c r="B20" s="16"/>
      <c r="C20" s="17" t="s">
        <v>382</v>
      </c>
      <c r="D20" s="18"/>
      <c r="E20" s="18" t="str">
        <f t="shared" si="0"/>
        <v/>
      </c>
      <c r="F20" s="18">
        <v>70</v>
      </c>
      <c r="G20" s="18">
        <f t="shared" si="1"/>
        <v>700</v>
      </c>
    </row>
    <row r="21" spans="1:7" x14ac:dyDescent="0.25">
      <c r="A21" s="15">
        <v>19</v>
      </c>
      <c r="B21" s="16"/>
      <c r="C21" s="17" t="s">
        <v>383</v>
      </c>
      <c r="D21" s="18"/>
      <c r="E21" s="18" t="str">
        <f t="shared" si="0"/>
        <v/>
      </c>
      <c r="F21" s="18">
        <v>55</v>
      </c>
      <c r="G21" s="18">
        <f t="shared" si="1"/>
        <v>1045</v>
      </c>
    </row>
    <row r="22" spans="1:7" x14ac:dyDescent="0.25">
      <c r="A22" s="15">
        <v>4</v>
      </c>
      <c r="B22" s="16"/>
      <c r="C22" s="17" t="s">
        <v>384</v>
      </c>
      <c r="D22" s="18"/>
      <c r="E22" s="18" t="str">
        <f t="shared" si="0"/>
        <v/>
      </c>
      <c r="F22" s="18">
        <v>20</v>
      </c>
      <c r="G22" s="18">
        <f t="shared" si="1"/>
        <v>80</v>
      </c>
    </row>
    <row r="23" spans="1:7" x14ac:dyDescent="0.25">
      <c r="A23" s="15">
        <v>7</v>
      </c>
      <c r="B23" s="16"/>
      <c r="C23" s="17" t="s">
        <v>385</v>
      </c>
      <c r="D23" s="18"/>
      <c r="E23" s="18" t="str">
        <f t="shared" si="0"/>
        <v/>
      </c>
      <c r="F23" s="18">
        <v>15</v>
      </c>
      <c r="G23" s="18">
        <f t="shared" si="1"/>
        <v>105</v>
      </c>
    </row>
    <row r="24" spans="1:7" x14ac:dyDescent="0.25">
      <c r="A24" s="15">
        <v>19</v>
      </c>
      <c r="B24" s="16"/>
      <c r="C24" s="17" t="s">
        <v>386</v>
      </c>
      <c r="D24" s="18"/>
      <c r="E24" s="18" t="str">
        <f t="shared" si="0"/>
        <v/>
      </c>
      <c r="F24" s="18">
        <v>15</v>
      </c>
      <c r="G24" s="18">
        <f t="shared" si="1"/>
        <v>285</v>
      </c>
    </row>
    <row r="25" spans="1:7" x14ac:dyDescent="0.25">
      <c r="A25" s="15">
        <v>12</v>
      </c>
      <c r="B25" s="16"/>
      <c r="C25" s="17" t="s">
        <v>387</v>
      </c>
      <c r="D25" s="18"/>
      <c r="E25" s="18" t="str">
        <f t="shared" si="0"/>
        <v/>
      </c>
      <c r="F25" s="18">
        <v>50</v>
      </c>
      <c r="G25" s="18">
        <f t="shared" si="1"/>
        <v>600</v>
      </c>
    </row>
    <row r="26" spans="1:7" x14ac:dyDescent="0.25">
      <c r="A26" s="15">
        <v>9</v>
      </c>
      <c r="B26" s="16"/>
      <c r="C26" s="17" t="s">
        <v>388</v>
      </c>
      <c r="D26" s="18"/>
      <c r="E26" s="18" t="str">
        <f t="shared" si="0"/>
        <v/>
      </c>
      <c r="F26" s="18">
        <v>30</v>
      </c>
      <c r="G26" s="18">
        <f t="shared" si="1"/>
        <v>270</v>
      </c>
    </row>
    <row r="27" spans="1:7" x14ac:dyDescent="0.25">
      <c r="A27" s="15">
        <v>10</v>
      </c>
      <c r="B27" s="16"/>
      <c r="C27" s="17" t="s">
        <v>389</v>
      </c>
      <c r="D27" s="18"/>
      <c r="E27" s="18" t="str">
        <f t="shared" si="0"/>
        <v/>
      </c>
      <c r="F27" s="18">
        <v>17.25</v>
      </c>
      <c r="G27" s="18">
        <f t="shared" si="1"/>
        <v>172.5</v>
      </c>
    </row>
    <row r="28" spans="1:7" x14ac:dyDescent="0.25">
      <c r="A28" s="15">
        <v>3</v>
      </c>
      <c r="B28" s="16"/>
      <c r="C28" s="17" t="s">
        <v>390</v>
      </c>
      <c r="D28" s="18"/>
      <c r="E28" s="18" t="str">
        <f t="shared" si="0"/>
        <v/>
      </c>
      <c r="F28" s="18">
        <v>80</v>
      </c>
      <c r="G28" s="18">
        <f t="shared" si="1"/>
        <v>240</v>
      </c>
    </row>
    <row r="29" spans="1:7" x14ac:dyDescent="0.25">
      <c r="A29" s="15">
        <v>2</v>
      </c>
      <c r="B29" s="16"/>
      <c r="C29" s="17" t="s">
        <v>391</v>
      </c>
      <c r="D29" s="18"/>
      <c r="E29" s="18" t="str">
        <f t="shared" si="0"/>
        <v/>
      </c>
      <c r="F29" s="18">
        <v>20</v>
      </c>
      <c r="G29" s="18">
        <f t="shared" si="1"/>
        <v>40</v>
      </c>
    </row>
    <row r="30" spans="1:7" x14ac:dyDescent="0.25">
      <c r="C30" s="10" t="s">
        <v>167</v>
      </c>
      <c r="E30" s="11">
        <f>SUM(E8:E29)</f>
        <v>0</v>
      </c>
      <c r="G30" s="11">
        <f>SUM(G8:G29)</f>
        <v>8542.5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50</v>
      </c>
      <c r="G5" s="6" t="s">
        <v>49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7</v>
      </c>
      <c r="B8" s="16"/>
      <c r="C8" s="17" t="s">
        <v>392</v>
      </c>
      <c r="D8" s="18"/>
      <c r="E8" s="18" t="str">
        <f t="shared" ref="E8:E23" si="0">IF(ISNUMBER(D8), A8*D8, "")</f>
        <v/>
      </c>
      <c r="F8" s="18">
        <v>505</v>
      </c>
      <c r="G8" s="18">
        <f t="shared" ref="G8:G23" si="1">A8*F8</f>
        <v>3535</v>
      </c>
    </row>
    <row r="9" spans="1:7" x14ac:dyDescent="0.25">
      <c r="A9" s="15">
        <v>3</v>
      </c>
      <c r="B9" s="16"/>
      <c r="C9" s="17" t="s">
        <v>393</v>
      </c>
      <c r="D9" s="18"/>
      <c r="E9" s="18" t="str">
        <f t="shared" si="0"/>
        <v/>
      </c>
      <c r="F9" s="18">
        <v>425</v>
      </c>
      <c r="G9" s="18">
        <f t="shared" si="1"/>
        <v>1275</v>
      </c>
    </row>
    <row r="10" spans="1:7" x14ac:dyDescent="0.25">
      <c r="A10" s="15">
        <v>8</v>
      </c>
      <c r="B10" s="16"/>
      <c r="C10" s="17" t="s">
        <v>394</v>
      </c>
      <c r="D10" s="18"/>
      <c r="E10" s="18" t="str">
        <f t="shared" si="0"/>
        <v/>
      </c>
      <c r="F10" s="18">
        <v>270</v>
      </c>
      <c r="G10" s="18">
        <f t="shared" si="1"/>
        <v>2160</v>
      </c>
    </row>
    <row r="11" spans="1:7" x14ac:dyDescent="0.25">
      <c r="A11" s="15">
        <v>9</v>
      </c>
      <c r="B11" s="16"/>
      <c r="C11" s="17" t="s">
        <v>395</v>
      </c>
      <c r="D11" s="18"/>
      <c r="E11" s="18" t="str">
        <f t="shared" si="0"/>
        <v/>
      </c>
      <c r="F11" s="18">
        <v>120</v>
      </c>
      <c r="G11" s="18">
        <f t="shared" si="1"/>
        <v>1080</v>
      </c>
    </row>
    <row r="12" spans="1:7" x14ac:dyDescent="0.25">
      <c r="A12" s="15">
        <v>5</v>
      </c>
      <c r="B12" s="16"/>
      <c r="C12" s="17" t="s">
        <v>396</v>
      </c>
      <c r="D12" s="18"/>
      <c r="E12" s="18" t="str">
        <f t="shared" si="0"/>
        <v/>
      </c>
      <c r="F12" s="18">
        <v>170</v>
      </c>
      <c r="G12" s="18">
        <f t="shared" si="1"/>
        <v>850</v>
      </c>
    </row>
    <row r="13" spans="1:7" x14ac:dyDescent="0.25">
      <c r="A13" s="15">
        <v>68</v>
      </c>
      <c r="B13" s="16"/>
      <c r="C13" s="17" t="s">
        <v>397</v>
      </c>
      <c r="D13" s="18"/>
      <c r="E13" s="18" t="str">
        <f t="shared" si="0"/>
        <v/>
      </c>
      <c r="F13" s="18">
        <v>50</v>
      </c>
      <c r="G13" s="18">
        <f t="shared" si="1"/>
        <v>3400</v>
      </c>
    </row>
    <row r="14" spans="1:7" x14ac:dyDescent="0.25">
      <c r="A14" s="15">
        <v>10</v>
      </c>
      <c r="B14" s="16"/>
      <c r="C14" s="17" t="s">
        <v>398</v>
      </c>
      <c r="D14" s="18"/>
      <c r="E14" s="18" t="str">
        <f t="shared" si="0"/>
        <v/>
      </c>
      <c r="F14" s="18">
        <v>30</v>
      </c>
      <c r="G14" s="18">
        <f t="shared" si="1"/>
        <v>300</v>
      </c>
    </row>
    <row r="15" spans="1:7" x14ac:dyDescent="0.25">
      <c r="A15" s="15">
        <v>9</v>
      </c>
      <c r="B15" s="16"/>
      <c r="C15" s="17" t="s">
        <v>399</v>
      </c>
      <c r="D15" s="18"/>
      <c r="E15" s="18" t="str">
        <f t="shared" si="0"/>
        <v/>
      </c>
      <c r="F15" s="18">
        <v>30</v>
      </c>
      <c r="G15" s="18">
        <f t="shared" si="1"/>
        <v>270</v>
      </c>
    </row>
    <row r="16" spans="1:7" x14ac:dyDescent="0.25">
      <c r="A16" s="15">
        <v>4</v>
      </c>
      <c r="B16" s="16"/>
      <c r="C16" s="17" t="s">
        <v>400</v>
      </c>
      <c r="D16" s="18"/>
      <c r="E16" s="18" t="str">
        <f t="shared" si="0"/>
        <v/>
      </c>
      <c r="F16" s="18">
        <v>60</v>
      </c>
      <c r="G16" s="18">
        <f t="shared" si="1"/>
        <v>240</v>
      </c>
    </row>
    <row r="17" spans="1:7" x14ac:dyDescent="0.25">
      <c r="A17" s="15">
        <v>7</v>
      </c>
      <c r="B17" s="16"/>
      <c r="C17" s="17" t="s">
        <v>401</v>
      </c>
      <c r="D17" s="18"/>
      <c r="E17" s="18" t="str">
        <f t="shared" si="0"/>
        <v/>
      </c>
      <c r="F17" s="18">
        <v>40</v>
      </c>
      <c r="G17" s="18">
        <f t="shared" si="1"/>
        <v>280</v>
      </c>
    </row>
    <row r="18" spans="1:7" x14ac:dyDescent="0.25">
      <c r="A18" s="15">
        <v>8</v>
      </c>
      <c r="B18" s="16"/>
      <c r="C18" s="17" t="s">
        <v>402</v>
      </c>
      <c r="D18" s="18"/>
      <c r="E18" s="18" t="str">
        <f t="shared" si="0"/>
        <v/>
      </c>
      <c r="F18" s="18">
        <v>80</v>
      </c>
      <c r="G18" s="18">
        <f t="shared" si="1"/>
        <v>640</v>
      </c>
    </row>
    <row r="19" spans="1:7" x14ac:dyDescent="0.25">
      <c r="A19" s="15">
        <v>355</v>
      </c>
      <c r="B19" s="16"/>
      <c r="C19" s="17" t="s">
        <v>158</v>
      </c>
      <c r="D19" s="18"/>
      <c r="E19" s="18" t="str">
        <f t="shared" si="0"/>
        <v/>
      </c>
      <c r="F19" s="18">
        <v>2</v>
      </c>
      <c r="G19" s="18">
        <f t="shared" si="1"/>
        <v>710</v>
      </c>
    </row>
    <row r="20" spans="1:7" x14ac:dyDescent="0.25">
      <c r="A20" s="15">
        <v>85</v>
      </c>
      <c r="B20" s="16"/>
      <c r="C20" s="17" t="s">
        <v>403</v>
      </c>
      <c r="D20" s="18"/>
      <c r="E20" s="18" t="str">
        <f t="shared" si="0"/>
        <v/>
      </c>
      <c r="F20" s="18">
        <v>2</v>
      </c>
      <c r="G20" s="18">
        <f t="shared" si="1"/>
        <v>170</v>
      </c>
    </row>
    <row r="21" spans="1:7" x14ac:dyDescent="0.25">
      <c r="A21" s="15">
        <v>246</v>
      </c>
      <c r="B21" s="16"/>
      <c r="C21" s="17" t="s">
        <v>157</v>
      </c>
      <c r="D21" s="18"/>
      <c r="E21" s="18" t="str">
        <f t="shared" si="0"/>
        <v/>
      </c>
      <c r="F21" s="18">
        <v>1</v>
      </c>
      <c r="G21" s="18">
        <f t="shared" si="1"/>
        <v>246</v>
      </c>
    </row>
    <row r="22" spans="1:7" x14ac:dyDescent="0.25">
      <c r="A22" s="15">
        <v>25</v>
      </c>
      <c r="B22" s="16"/>
      <c r="C22" s="17" t="s">
        <v>404</v>
      </c>
      <c r="D22" s="18"/>
      <c r="E22" s="18" t="str">
        <f t="shared" si="0"/>
        <v/>
      </c>
      <c r="F22" s="18">
        <v>30</v>
      </c>
      <c r="G22" s="18">
        <f t="shared" si="1"/>
        <v>750</v>
      </c>
    </row>
    <row r="23" spans="1:7" x14ac:dyDescent="0.25">
      <c r="A23" s="15">
        <v>10</v>
      </c>
      <c r="B23" s="16"/>
      <c r="C23" s="17" t="s">
        <v>405</v>
      </c>
      <c r="D23" s="18"/>
      <c r="E23" s="18" t="str">
        <f t="shared" si="0"/>
        <v/>
      </c>
      <c r="F23" s="18">
        <v>20</v>
      </c>
      <c r="G23" s="18">
        <f t="shared" si="1"/>
        <v>200</v>
      </c>
    </row>
    <row r="24" spans="1:7" x14ac:dyDescent="0.25">
      <c r="C24" s="10" t="s">
        <v>167</v>
      </c>
      <c r="E24" s="11">
        <f>SUM(E8:E23)</f>
        <v>0</v>
      </c>
      <c r="G24" s="11">
        <f>SUM(G8:G23)</f>
        <v>16106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53</v>
      </c>
      <c r="G5" s="6" t="s">
        <v>52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11</v>
      </c>
      <c r="B8" s="16"/>
      <c r="C8" s="17" t="s">
        <v>406</v>
      </c>
      <c r="D8" s="18"/>
      <c r="E8" s="18" t="str">
        <f t="shared" ref="E8:E19" si="0">IF(ISNUMBER(D8), A8*D8, "")</f>
        <v/>
      </c>
      <c r="F8" s="18">
        <v>20</v>
      </c>
      <c r="G8" s="18">
        <f t="shared" ref="G8:G19" si="1">A8*F8</f>
        <v>220</v>
      </c>
    </row>
    <row r="9" spans="1:7" x14ac:dyDescent="0.25">
      <c r="A9" s="15">
        <v>23</v>
      </c>
      <c r="B9" s="16"/>
      <c r="C9" s="17" t="s">
        <v>407</v>
      </c>
      <c r="D9" s="18"/>
      <c r="E9" s="18" t="str">
        <f t="shared" si="0"/>
        <v/>
      </c>
      <c r="F9" s="18">
        <v>20</v>
      </c>
      <c r="G9" s="18">
        <f t="shared" si="1"/>
        <v>460</v>
      </c>
    </row>
    <row r="10" spans="1:7" x14ac:dyDescent="0.25">
      <c r="A10" s="15">
        <v>29</v>
      </c>
      <c r="B10" s="16"/>
      <c r="C10" s="17" t="s">
        <v>408</v>
      </c>
      <c r="D10" s="18"/>
      <c r="E10" s="18" t="str">
        <f t="shared" si="0"/>
        <v/>
      </c>
      <c r="F10" s="18">
        <v>20</v>
      </c>
      <c r="G10" s="18">
        <f t="shared" si="1"/>
        <v>580</v>
      </c>
    </row>
    <row r="11" spans="1:7" x14ac:dyDescent="0.25">
      <c r="A11" s="15">
        <v>83</v>
      </c>
      <c r="B11" s="16"/>
      <c r="C11" s="17" t="s">
        <v>409</v>
      </c>
      <c r="D11" s="18"/>
      <c r="E11" s="18" t="str">
        <f t="shared" si="0"/>
        <v/>
      </c>
      <c r="F11" s="18">
        <v>20</v>
      </c>
      <c r="G11" s="18">
        <f t="shared" si="1"/>
        <v>1660</v>
      </c>
    </row>
    <row r="12" spans="1:7" x14ac:dyDescent="0.25">
      <c r="A12" s="15">
        <v>32</v>
      </c>
      <c r="B12" s="16"/>
      <c r="C12" s="17" t="s">
        <v>410</v>
      </c>
      <c r="D12" s="18"/>
      <c r="E12" s="18" t="str">
        <f t="shared" si="0"/>
        <v/>
      </c>
      <c r="F12" s="18">
        <v>20</v>
      </c>
      <c r="G12" s="18">
        <f t="shared" si="1"/>
        <v>640</v>
      </c>
    </row>
    <row r="13" spans="1:7" x14ac:dyDescent="0.25">
      <c r="A13" s="15">
        <v>94</v>
      </c>
      <c r="B13" s="16"/>
      <c r="C13" s="17" t="s">
        <v>411</v>
      </c>
      <c r="D13" s="18"/>
      <c r="E13" s="18" t="str">
        <f t="shared" si="0"/>
        <v/>
      </c>
      <c r="F13" s="18">
        <v>20</v>
      </c>
      <c r="G13" s="18">
        <f t="shared" si="1"/>
        <v>1880</v>
      </c>
    </row>
    <row r="14" spans="1:7" x14ac:dyDescent="0.25">
      <c r="A14" s="15">
        <v>175</v>
      </c>
      <c r="B14" s="16"/>
      <c r="C14" s="17" t="s">
        <v>412</v>
      </c>
      <c r="D14" s="18"/>
      <c r="E14" s="18" t="str">
        <f t="shared" si="0"/>
        <v/>
      </c>
      <c r="F14" s="18">
        <v>20</v>
      </c>
      <c r="G14" s="18">
        <f t="shared" si="1"/>
        <v>3500</v>
      </c>
    </row>
    <row r="15" spans="1:7" x14ac:dyDescent="0.25">
      <c r="A15" s="15">
        <v>88</v>
      </c>
      <c r="B15" s="16"/>
      <c r="C15" s="17" t="s">
        <v>413</v>
      </c>
      <c r="D15" s="18"/>
      <c r="E15" s="18" t="str">
        <f t="shared" si="0"/>
        <v/>
      </c>
      <c r="F15" s="18">
        <v>20</v>
      </c>
      <c r="G15" s="18">
        <f t="shared" si="1"/>
        <v>1760</v>
      </c>
    </row>
    <row r="16" spans="1:7" x14ac:dyDescent="0.25">
      <c r="A16" s="15">
        <v>66</v>
      </c>
      <c r="B16" s="16"/>
      <c r="C16" s="17" t="s">
        <v>414</v>
      </c>
      <c r="D16" s="18"/>
      <c r="E16" s="18" t="str">
        <f t="shared" si="0"/>
        <v/>
      </c>
      <c r="F16" s="18">
        <v>20</v>
      </c>
      <c r="G16" s="18">
        <f t="shared" si="1"/>
        <v>1320</v>
      </c>
    </row>
    <row r="17" spans="1:7" x14ac:dyDescent="0.25">
      <c r="A17" s="15">
        <v>49</v>
      </c>
      <c r="B17" s="16"/>
      <c r="C17" s="17" t="s">
        <v>415</v>
      </c>
      <c r="D17" s="18"/>
      <c r="E17" s="18" t="str">
        <f t="shared" si="0"/>
        <v/>
      </c>
      <c r="F17" s="18">
        <v>20</v>
      </c>
      <c r="G17" s="18">
        <f t="shared" si="1"/>
        <v>980</v>
      </c>
    </row>
    <row r="18" spans="1:7" x14ac:dyDescent="0.25">
      <c r="A18" s="15">
        <v>88</v>
      </c>
      <c r="B18" s="16"/>
      <c r="C18" s="17" t="s">
        <v>416</v>
      </c>
      <c r="D18" s="18"/>
      <c r="E18" s="18" t="str">
        <f t="shared" si="0"/>
        <v/>
      </c>
      <c r="F18" s="18">
        <v>20</v>
      </c>
      <c r="G18" s="18">
        <f t="shared" si="1"/>
        <v>1760</v>
      </c>
    </row>
    <row r="19" spans="1:7" x14ac:dyDescent="0.25">
      <c r="A19" s="15">
        <v>100</v>
      </c>
      <c r="B19" s="16"/>
      <c r="C19" s="17" t="s">
        <v>417</v>
      </c>
      <c r="D19" s="18"/>
      <c r="E19" s="18" t="str">
        <f t="shared" si="0"/>
        <v/>
      </c>
      <c r="F19" s="18">
        <v>20</v>
      </c>
      <c r="G19" s="18">
        <f t="shared" si="1"/>
        <v>2000</v>
      </c>
    </row>
    <row r="20" spans="1:7" x14ac:dyDescent="0.25">
      <c r="C20" s="10" t="s">
        <v>167</v>
      </c>
      <c r="E20" s="11">
        <f>SUM(E8:E19)</f>
        <v>0</v>
      </c>
      <c r="G20" s="11">
        <f>SUM(G8:G19)</f>
        <v>16760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56</v>
      </c>
      <c r="G5" s="6" t="s">
        <v>55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71</v>
      </c>
      <c r="B8" s="16"/>
      <c r="C8" s="17" t="s">
        <v>418</v>
      </c>
      <c r="D8" s="18"/>
      <c r="E8" s="18" t="str">
        <f>IF(ISNUMBER(D8), A8*D8, "")</f>
        <v/>
      </c>
      <c r="F8" s="18">
        <v>477.5</v>
      </c>
      <c r="G8" s="18">
        <f>A8*F8</f>
        <v>33902.5</v>
      </c>
    </row>
    <row r="9" spans="1:7" x14ac:dyDescent="0.25">
      <c r="C9" s="10" t="s">
        <v>167</v>
      </c>
      <c r="E9" s="11">
        <f>SUM(E8:E8)</f>
        <v>0</v>
      </c>
      <c r="G9" s="11">
        <f>SUM(G8:G8)</f>
        <v>33902.5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1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56</v>
      </c>
      <c r="G5" s="6" t="s">
        <v>58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29</v>
      </c>
      <c r="B8" s="16"/>
      <c r="C8" s="17" t="s">
        <v>419</v>
      </c>
      <c r="D8" s="18"/>
      <c r="E8" s="18" t="str">
        <f>IF(ISNUMBER(D8), A8*D8, "")</f>
        <v/>
      </c>
      <c r="F8" s="18">
        <v>100</v>
      </c>
      <c r="G8" s="18">
        <f>A8*F8</f>
        <v>2900</v>
      </c>
    </row>
    <row r="9" spans="1:7" x14ac:dyDescent="0.25">
      <c r="A9" s="15">
        <v>13</v>
      </c>
      <c r="B9" s="16"/>
      <c r="C9" s="17" t="s">
        <v>420</v>
      </c>
      <c r="D9" s="18"/>
      <c r="E9" s="18" t="str">
        <f>IF(ISNUMBER(D9), A9*D9, "")</f>
        <v/>
      </c>
      <c r="F9" s="18">
        <v>225</v>
      </c>
      <c r="G9" s="18">
        <f>A9*F9</f>
        <v>2925</v>
      </c>
    </row>
    <row r="10" spans="1:7" x14ac:dyDescent="0.25">
      <c r="A10" s="15">
        <v>110</v>
      </c>
      <c r="B10" s="16"/>
      <c r="C10" s="17" t="s">
        <v>421</v>
      </c>
      <c r="D10" s="18"/>
      <c r="E10" s="18" t="str">
        <f>IF(ISNUMBER(D10), A10*D10, "")</f>
        <v/>
      </c>
      <c r="F10" s="18">
        <v>350</v>
      </c>
      <c r="G10" s="18">
        <f>A10*F10</f>
        <v>38500</v>
      </c>
    </row>
    <row r="11" spans="1:7" x14ac:dyDescent="0.25">
      <c r="C11" s="10" t="s">
        <v>167</v>
      </c>
      <c r="E11" s="11">
        <f>SUM(E8:E10)</f>
        <v>0</v>
      </c>
      <c r="G11" s="11">
        <f>SUM(G8:G10)</f>
        <v>44325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9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61</v>
      </c>
      <c r="G5" s="6" t="s">
        <v>60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3</v>
      </c>
      <c r="B8" s="16"/>
      <c r="C8" s="17" t="s">
        <v>422</v>
      </c>
      <c r="D8" s="18"/>
      <c r="E8" s="18" t="str">
        <f t="shared" ref="E8:E28" si="0">IF(ISNUMBER(D8), A8*D8, "")</f>
        <v/>
      </c>
      <c r="F8" s="18">
        <v>145</v>
      </c>
      <c r="G8" s="18">
        <f t="shared" ref="G8:G28" si="1">A8*F8</f>
        <v>435</v>
      </c>
    </row>
    <row r="9" spans="1:7" x14ac:dyDescent="0.25">
      <c r="A9" s="15">
        <v>1</v>
      </c>
      <c r="B9" s="16"/>
      <c r="C9" s="17" t="s">
        <v>423</v>
      </c>
      <c r="D9" s="18"/>
      <c r="E9" s="18" t="str">
        <f t="shared" si="0"/>
        <v/>
      </c>
      <c r="F9" s="18">
        <v>75</v>
      </c>
      <c r="G9" s="18">
        <f t="shared" si="1"/>
        <v>75</v>
      </c>
    </row>
    <row r="10" spans="1:7" x14ac:dyDescent="0.25">
      <c r="A10" s="15">
        <v>8</v>
      </c>
      <c r="B10" s="16"/>
      <c r="C10" s="17" t="s">
        <v>424</v>
      </c>
      <c r="D10" s="18"/>
      <c r="E10" s="18" t="str">
        <f t="shared" si="0"/>
        <v/>
      </c>
      <c r="F10" s="18">
        <v>150</v>
      </c>
      <c r="G10" s="18">
        <f t="shared" si="1"/>
        <v>1200</v>
      </c>
    </row>
    <row r="11" spans="1:7" x14ac:dyDescent="0.25">
      <c r="A11" s="15">
        <v>1</v>
      </c>
      <c r="B11" s="16"/>
      <c r="C11" s="17" t="s">
        <v>425</v>
      </c>
      <c r="D11" s="18"/>
      <c r="E11" s="18" t="str">
        <f t="shared" si="0"/>
        <v/>
      </c>
      <c r="F11" s="18">
        <v>270</v>
      </c>
      <c r="G11" s="18">
        <f t="shared" si="1"/>
        <v>270</v>
      </c>
    </row>
    <row r="12" spans="1:7" x14ac:dyDescent="0.25">
      <c r="A12" s="15">
        <v>2</v>
      </c>
      <c r="B12" s="16"/>
      <c r="C12" s="17" t="s">
        <v>426</v>
      </c>
      <c r="D12" s="18"/>
      <c r="E12" s="18" t="str">
        <f t="shared" si="0"/>
        <v/>
      </c>
      <c r="F12" s="18">
        <v>215</v>
      </c>
      <c r="G12" s="18">
        <f t="shared" si="1"/>
        <v>430</v>
      </c>
    </row>
    <row r="13" spans="1:7" x14ac:dyDescent="0.25">
      <c r="A13" s="15">
        <v>1</v>
      </c>
      <c r="B13" s="16"/>
      <c r="C13" s="17" t="s">
        <v>427</v>
      </c>
      <c r="D13" s="18"/>
      <c r="E13" s="18" t="str">
        <f t="shared" si="0"/>
        <v/>
      </c>
      <c r="F13" s="18">
        <v>200</v>
      </c>
      <c r="G13" s="18">
        <f t="shared" si="1"/>
        <v>200</v>
      </c>
    </row>
    <row r="14" spans="1:7" x14ac:dyDescent="0.25">
      <c r="A14" s="15">
        <v>1</v>
      </c>
      <c r="B14" s="16"/>
      <c r="C14" s="17" t="s">
        <v>428</v>
      </c>
      <c r="D14" s="18"/>
      <c r="E14" s="18" t="str">
        <f t="shared" si="0"/>
        <v/>
      </c>
      <c r="F14" s="18">
        <v>215</v>
      </c>
      <c r="G14" s="18">
        <f t="shared" si="1"/>
        <v>215</v>
      </c>
    </row>
    <row r="15" spans="1:7" x14ac:dyDescent="0.25">
      <c r="A15" s="15">
        <v>1</v>
      </c>
      <c r="B15" s="16"/>
      <c r="C15" s="17" t="s">
        <v>429</v>
      </c>
      <c r="D15" s="18"/>
      <c r="E15" s="18" t="str">
        <f t="shared" si="0"/>
        <v/>
      </c>
      <c r="F15" s="18">
        <v>175</v>
      </c>
      <c r="G15" s="18">
        <f t="shared" si="1"/>
        <v>175</v>
      </c>
    </row>
    <row r="16" spans="1:7" x14ac:dyDescent="0.25">
      <c r="A16" s="15">
        <v>4</v>
      </c>
      <c r="B16" s="16"/>
      <c r="C16" s="17" t="s">
        <v>430</v>
      </c>
      <c r="D16" s="18"/>
      <c r="E16" s="18" t="str">
        <f t="shared" si="0"/>
        <v/>
      </c>
      <c r="F16" s="18">
        <v>260</v>
      </c>
      <c r="G16" s="18">
        <f t="shared" si="1"/>
        <v>1040</v>
      </c>
    </row>
    <row r="17" spans="1:7" x14ac:dyDescent="0.25">
      <c r="A17" s="15">
        <v>15</v>
      </c>
      <c r="B17" s="16"/>
      <c r="C17" s="17" t="s">
        <v>431</v>
      </c>
      <c r="D17" s="18"/>
      <c r="E17" s="18" t="str">
        <f t="shared" si="0"/>
        <v/>
      </c>
      <c r="F17" s="18">
        <v>55</v>
      </c>
      <c r="G17" s="18">
        <f t="shared" si="1"/>
        <v>825</v>
      </c>
    </row>
    <row r="18" spans="1:7" x14ac:dyDescent="0.25">
      <c r="A18" s="15">
        <v>2</v>
      </c>
      <c r="B18" s="16"/>
      <c r="C18" s="17" t="s">
        <v>432</v>
      </c>
      <c r="D18" s="18"/>
      <c r="E18" s="18" t="str">
        <f t="shared" si="0"/>
        <v/>
      </c>
      <c r="F18" s="18">
        <v>225</v>
      </c>
      <c r="G18" s="18">
        <f t="shared" si="1"/>
        <v>450</v>
      </c>
    </row>
    <row r="19" spans="1:7" x14ac:dyDescent="0.25">
      <c r="A19" s="15">
        <v>2</v>
      </c>
      <c r="B19" s="16"/>
      <c r="C19" s="17" t="s">
        <v>433</v>
      </c>
      <c r="D19" s="18"/>
      <c r="E19" s="18" t="str">
        <f t="shared" si="0"/>
        <v/>
      </c>
      <c r="F19" s="18">
        <v>320</v>
      </c>
      <c r="G19" s="18">
        <f t="shared" si="1"/>
        <v>640</v>
      </c>
    </row>
    <row r="20" spans="1:7" x14ac:dyDescent="0.25">
      <c r="A20" s="15">
        <v>65</v>
      </c>
      <c r="B20" s="16"/>
      <c r="C20" s="17" t="s">
        <v>434</v>
      </c>
      <c r="D20" s="18"/>
      <c r="E20" s="18" t="str">
        <f t="shared" si="0"/>
        <v/>
      </c>
      <c r="F20" s="18">
        <v>10</v>
      </c>
      <c r="G20" s="18">
        <f t="shared" si="1"/>
        <v>650</v>
      </c>
    </row>
    <row r="21" spans="1:7" x14ac:dyDescent="0.25">
      <c r="A21" s="15">
        <v>1</v>
      </c>
      <c r="B21" s="16"/>
      <c r="C21" s="17" t="s">
        <v>435</v>
      </c>
      <c r="D21" s="18"/>
      <c r="E21" s="18" t="str">
        <f t="shared" si="0"/>
        <v/>
      </c>
      <c r="F21" s="18">
        <v>180</v>
      </c>
      <c r="G21" s="18">
        <f t="shared" si="1"/>
        <v>180</v>
      </c>
    </row>
    <row r="22" spans="1:7" x14ac:dyDescent="0.25">
      <c r="A22" s="15">
        <v>100</v>
      </c>
      <c r="B22" s="16"/>
      <c r="C22" s="17" t="s">
        <v>436</v>
      </c>
      <c r="D22" s="18"/>
      <c r="E22" s="18" t="str">
        <f t="shared" si="0"/>
        <v/>
      </c>
      <c r="F22" s="18">
        <v>40</v>
      </c>
      <c r="G22" s="18">
        <f t="shared" si="1"/>
        <v>4000</v>
      </c>
    </row>
    <row r="23" spans="1:7" x14ac:dyDescent="0.25">
      <c r="A23" s="15">
        <v>15</v>
      </c>
      <c r="B23" s="16"/>
      <c r="C23" s="17" t="s">
        <v>437</v>
      </c>
      <c r="D23" s="18"/>
      <c r="E23" s="18" t="str">
        <f t="shared" si="0"/>
        <v/>
      </c>
      <c r="F23" s="18">
        <v>45</v>
      </c>
      <c r="G23" s="18">
        <f t="shared" si="1"/>
        <v>675</v>
      </c>
    </row>
    <row r="24" spans="1:7" x14ac:dyDescent="0.25">
      <c r="A24" s="15">
        <v>7</v>
      </c>
      <c r="B24" s="16"/>
      <c r="C24" s="17" t="s">
        <v>438</v>
      </c>
      <c r="D24" s="18"/>
      <c r="E24" s="18" t="str">
        <f t="shared" si="0"/>
        <v/>
      </c>
      <c r="F24" s="18">
        <v>60</v>
      </c>
      <c r="G24" s="18">
        <f t="shared" si="1"/>
        <v>420</v>
      </c>
    </row>
    <row r="25" spans="1:7" x14ac:dyDescent="0.25">
      <c r="A25" s="15">
        <v>5</v>
      </c>
      <c r="B25" s="16"/>
      <c r="C25" s="17" t="s">
        <v>439</v>
      </c>
      <c r="D25" s="18"/>
      <c r="E25" s="18" t="str">
        <f t="shared" si="0"/>
        <v/>
      </c>
      <c r="F25" s="18">
        <v>194</v>
      </c>
      <c r="G25" s="18">
        <f t="shared" si="1"/>
        <v>970</v>
      </c>
    </row>
    <row r="26" spans="1:7" x14ac:dyDescent="0.25">
      <c r="A26" s="15">
        <v>19</v>
      </c>
      <c r="B26" s="16"/>
      <c r="C26" s="17" t="s">
        <v>440</v>
      </c>
      <c r="D26" s="18"/>
      <c r="E26" s="18" t="str">
        <f t="shared" si="0"/>
        <v/>
      </c>
      <c r="F26" s="18">
        <v>40</v>
      </c>
      <c r="G26" s="18">
        <f t="shared" si="1"/>
        <v>760</v>
      </c>
    </row>
    <row r="27" spans="1:7" x14ac:dyDescent="0.25">
      <c r="A27" s="15">
        <v>20</v>
      </c>
      <c r="B27" s="16"/>
      <c r="C27" s="17" t="s">
        <v>441</v>
      </c>
      <c r="D27" s="18"/>
      <c r="E27" s="18" t="str">
        <f t="shared" si="0"/>
        <v/>
      </c>
      <c r="F27" s="18">
        <v>40</v>
      </c>
      <c r="G27" s="18">
        <f t="shared" si="1"/>
        <v>800</v>
      </c>
    </row>
    <row r="28" spans="1:7" x14ac:dyDescent="0.25">
      <c r="A28" s="15">
        <v>1</v>
      </c>
      <c r="B28" s="16"/>
      <c r="C28" s="17" t="s">
        <v>442</v>
      </c>
      <c r="D28" s="18"/>
      <c r="E28" s="18" t="str">
        <f t="shared" si="0"/>
        <v/>
      </c>
      <c r="F28" s="18">
        <v>40</v>
      </c>
      <c r="G28" s="18">
        <f t="shared" si="1"/>
        <v>40</v>
      </c>
    </row>
    <row r="29" spans="1:7" x14ac:dyDescent="0.25">
      <c r="C29" s="10" t="s">
        <v>167</v>
      </c>
      <c r="E29" s="11">
        <f>SUM(E8:E28)</f>
        <v>0</v>
      </c>
      <c r="G29" s="11">
        <f>SUM(G8:G28)</f>
        <v>14450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2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61</v>
      </c>
      <c r="G5" s="6" t="s">
        <v>63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13</v>
      </c>
      <c r="B8" s="16"/>
      <c r="C8" s="17" t="s">
        <v>443</v>
      </c>
      <c r="D8" s="18"/>
      <c r="E8" s="18" t="str">
        <f t="shared" ref="E8:E21" si="0">IF(ISNUMBER(D8), A8*D8, "")</f>
        <v/>
      </c>
      <c r="F8" s="18">
        <v>315</v>
      </c>
      <c r="G8" s="18">
        <f t="shared" ref="G8:G21" si="1">A8*F8</f>
        <v>4095</v>
      </c>
    </row>
    <row r="9" spans="1:7" x14ac:dyDescent="0.25">
      <c r="A9" s="15">
        <v>10</v>
      </c>
      <c r="B9" s="16"/>
      <c r="C9" s="17" t="s">
        <v>444</v>
      </c>
      <c r="D9" s="18"/>
      <c r="E9" s="18" t="str">
        <f t="shared" si="0"/>
        <v/>
      </c>
      <c r="F9" s="18">
        <v>150</v>
      </c>
      <c r="G9" s="18">
        <f t="shared" si="1"/>
        <v>1500</v>
      </c>
    </row>
    <row r="10" spans="1:7" x14ac:dyDescent="0.25">
      <c r="A10" s="15">
        <v>10</v>
      </c>
      <c r="B10" s="16"/>
      <c r="C10" s="17" t="s">
        <v>445</v>
      </c>
      <c r="D10" s="18"/>
      <c r="E10" s="18" t="str">
        <f t="shared" si="0"/>
        <v/>
      </c>
      <c r="F10" s="18">
        <v>175</v>
      </c>
      <c r="G10" s="18">
        <f t="shared" si="1"/>
        <v>1750</v>
      </c>
    </row>
    <row r="11" spans="1:7" x14ac:dyDescent="0.25">
      <c r="A11" s="15">
        <v>52</v>
      </c>
      <c r="B11" s="16"/>
      <c r="C11" s="17" t="s">
        <v>446</v>
      </c>
      <c r="D11" s="18"/>
      <c r="E11" s="18" t="str">
        <f t="shared" si="0"/>
        <v/>
      </c>
      <c r="F11" s="18">
        <v>25</v>
      </c>
      <c r="G11" s="18">
        <f t="shared" si="1"/>
        <v>1300</v>
      </c>
    </row>
    <row r="12" spans="1:7" x14ac:dyDescent="0.25">
      <c r="A12" s="15">
        <v>10</v>
      </c>
      <c r="B12" s="16"/>
      <c r="C12" s="17" t="s">
        <v>447</v>
      </c>
      <c r="D12" s="18"/>
      <c r="E12" s="18" t="str">
        <f t="shared" si="0"/>
        <v/>
      </c>
      <c r="F12" s="18">
        <v>315</v>
      </c>
      <c r="G12" s="18">
        <f t="shared" si="1"/>
        <v>3150</v>
      </c>
    </row>
    <row r="13" spans="1:7" x14ac:dyDescent="0.25">
      <c r="A13" s="15">
        <v>1</v>
      </c>
      <c r="B13" s="16"/>
      <c r="C13" s="17" t="s">
        <v>448</v>
      </c>
      <c r="D13" s="18"/>
      <c r="E13" s="18" t="str">
        <f t="shared" si="0"/>
        <v/>
      </c>
      <c r="F13" s="18">
        <v>120</v>
      </c>
      <c r="G13" s="18">
        <f t="shared" si="1"/>
        <v>120</v>
      </c>
    </row>
    <row r="14" spans="1:7" x14ac:dyDescent="0.25">
      <c r="A14" s="15">
        <v>6</v>
      </c>
      <c r="B14" s="16"/>
      <c r="C14" s="17" t="s">
        <v>449</v>
      </c>
      <c r="D14" s="18"/>
      <c r="E14" s="18" t="str">
        <f t="shared" si="0"/>
        <v/>
      </c>
      <c r="F14" s="18">
        <v>145</v>
      </c>
      <c r="G14" s="18">
        <f t="shared" si="1"/>
        <v>870</v>
      </c>
    </row>
    <row r="15" spans="1:7" x14ac:dyDescent="0.25">
      <c r="A15" s="15">
        <v>23</v>
      </c>
      <c r="B15" s="16"/>
      <c r="C15" s="17" t="s">
        <v>450</v>
      </c>
      <c r="D15" s="18"/>
      <c r="E15" s="18" t="str">
        <f t="shared" si="0"/>
        <v/>
      </c>
      <c r="F15" s="18">
        <v>20</v>
      </c>
      <c r="G15" s="18">
        <f t="shared" si="1"/>
        <v>460</v>
      </c>
    </row>
    <row r="16" spans="1:7" x14ac:dyDescent="0.25">
      <c r="A16" s="15">
        <v>9</v>
      </c>
      <c r="B16" s="16"/>
      <c r="C16" s="17" t="s">
        <v>451</v>
      </c>
      <c r="D16" s="18"/>
      <c r="E16" s="18" t="str">
        <f t="shared" si="0"/>
        <v/>
      </c>
      <c r="F16" s="18">
        <v>20</v>
      </c>
      <c r="G16" s="18">
        <f t="shared" si="1"/>
        <v>180</v>
      </c>
    </row>
    <row r="17" spans="1:7" x14ac:dyDescent="0.25">
      <c r="A17" s="15">
        <v>20</v>
      </c>
      <c r="B17" s="16"/>
      <c r="C17" s="17" t="s">
        <v>452</v>
      </c>
      <c r="D17" s="18"/>
      <c r="E17" s="18" t="str">
        <f t="shared" si="0"/>
        <v/>
      </c>
      <c r="F17" s="18">
        <v>30</v>
      </c>
      <c r="G17" s="18">
        <f t="shared" si="1"/>
        <v>600</v>
      </c>
    </row>
    <row r="18" spans="1:7" x14ac:dyDescent="0.25">
      <c r="A18" s="15">
        <v>4</v>
      </c>
      <c r="B18" s="16"/>
      <c r="C18" s="17" t="s">
        <v>453</v>
      </c>
      <c r="D18" s="18"/>
      <c r="E18" s="18" t="str">
        <f t="shared" si="0"/>
        <v/>
      </c>
      <c r="F18" s="18">
        <v>20</v>
      </c>
      <c r="G18" s="18">
        <f t="shared" si="1"/>
        <v>80</v>
      </c>
    </row>
    <row r="19" spans="1:7" x14ac:dyDescent="0.25">
      <c r="A19" s="15">
        <v>33</v>
      </c>
      <c r="B19" s="16"/>
      <c r="C19" s="17" t="s">
        <v>454</v>
      </c>
      <c r="D19" s="18"/>
      <c r="E19" s="18" t="str">
        <f t="shared" si="0"/>
        <v/>
      </c>
      <c r="F19" s="18">
        <v>15</v>
      </c>
      <c r="G19" s="18">
        <f t="shared" si="1"/>
        <v>495</v>
      </c>
    </row>
    <row r="20" spans="1:7" x14ac:dyDescent="0.25">
      <c r="A20" s="15">
        <v>10</v>
      </c>
      <c r="B20" s="16"/>
      <c r="C20" s="17" t="s">
        <v>455</v>
      </c>
      <c r="D20" s="18"/>
      <c r="E20" s="18" t="str">
        <f t="shared" si="0"/>
        <v/>
      </c>
      <c r="F20" s="18">
        <v>550</v>
      </c>
      <c r="G20" s="18">
        <f t="shared" si="1"/>
        <v>5500</v>
      </c>
    </row>
    <row r="21" spans="1:7" x14ac:dyDescent="0.25">
      <c r="A21" s="15">
        <v>2</v>
      </c>
      <c r="B21" s="16"/>
      <c r="C21" s="17" t="s">
        <v>456</v>
      </c>
      <c r="D21" s="18"/>
      <c r="E21" s="18" t="str">
        <f t="shared" si="0"/>
        <v/>
      </c>
      <c r="F21" s="18">
        <v>270</v>
      </c>
      <c r="G21" s="18">
        <f t="shared" si="1"/>
        <v>540</v>
      </c>
    </row>
    <row r="22" spans="1:7" x14ac:dyDescent="0.25">
      <c r="C22" s="10" t="s">
        <v>167</v>
      </c>
      <c r="E22" s="11">
        <f>SUM(E8:E21)</f>
        <v>0</v>
      </c>
      <c r="G22" s="11">
        <f>SUM(G8:G21)</f>
        <v>20640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7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32</v>
      </c>
      <c r="G5" s="6" t="s">
        <v>65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55</v>
      </c>
      <c r="B8" s="16"/>
      <c r="C8" s="17" t="s">
        <v>457</v>
      </c>
      <c r="D8" s="18"/>
      <c r="E8" s="18" t="str">
        <f t="shared" ref="E8:E16" si="0">IF(ISNUMBER(D8), A8*D8, "")</f>
        <v/>
      </c>
      <c r="F8" s="18">
        <v>20</v>
      </c>
      <c r="G8" s="18">
        <f t="shared" ref="G8:G16" si="1">A8*F8</f>
        <v>1100</v>
      </c>
    </row>
    <row r="9" spans="1:7" x14ac:dyDescent="0.25">
      <c r="A9" s="15">
        <v>55</v>
      </c>
      <c r="B9" s="16"/>
      <c r="C9" s="17" t="s">
        <v>458</v>
      </c>
      <c r="D9" s="18"/>
      <c r="E9" s="18" t="str">
        <f t="shared" si="0"/>
        <v/>
      </c>
      <c r="F9" s="18">
        <v>15</v>
      </c>
      <c r="G9" s="18">
        <f t="shared" si="1"/>
        <v>825</v>
      </c>
    </row>
    <row r="10" spans="1:7" x14ac:dyDescent="0.25">
      <c r="A10" s="15">
        <v>46</v>
      </c>
      <c r="B10" s="16"/>
      <c r="C10" s="17" t="s">
        <v>459</v>
      </c>
      <c r="D10" s="18"/>
      <c r="E10" s="18" t="str">
        <f t="shared" si="0"/>
        <v/>
      </c>
      <c r="F10" s="18">
        <v>15</v>
      </c>
      <c r="G10" s="18">
        <f t="shared" si="1"/>
        <v>690</v>
      </c>
    </row>
    <row r="11" spans="1:7" x14ac:dyDescent="0.25">
      <c r="A11" s="15">
        <v>32</v>
      </c>
      <c r="B11" s="16"/>
      <c r="C11" s="17" t="s">
        <v>460</v>
      </c>
      <c r="D11" s="18"/>
      <c r="E11" s="18" t="str">
        <f t="shared" si="0"/>
        <v/>
      </c>
      <c r="F11" s="18">
        <v>15</v>
      </c>
      <c r="G11" s="18">
        <f t="shared" si="1"/>
        <v>480</v>
      </c>
    </row>
    <row r="12" spans="1:7" x14ac:dyDescent="0.25">
      <c r="A12" s="15">
        <v>79</v>
      </c>
      <c r="B12" s="16"/>
      <c r="C12" s="17" t="s">
        <v>461</v>
      </c>
      <c r="D12" s="18"/>
      <c r="E12" s="18" t="str">
        <f t="shared" si="0"/>
        <v/>
      </c>
      <c r="F12" s="18">
        <v>15</v>
      </c>
      <c r="G12" s="18">
        <f t="shared" si="1"/>
        <v>1185</v>
      </c>
    </row>
    <row r="13" spans="1:7" x14ac:dyDescent="0.25">
      <c r="A13" s="15">
        <v>23</v>
      </c>
      <c r="B13" s="16"/>
      <c r="C13" s="17" t="s">
        <v>462</v>
      </c>
      <c r="D13" s="18"/>
      <c r="E13" s="18" t="str">
        <f t="shared" si="0"/>
        <v/>
      </c>
      <c r="F13" s="18">
        <v>20</v>
      </c>
      <c r="G13" s="18">
        <f t="shared" si="1"/>
        <v>460</v>
      </c>
    </row>
    <row r="14" spans="1:7" x14ac:dyDescent="0.25">
      <c r="A14" s="15">
        <v>11</v>
      </c>
      <c r="B14" s="16"/>
      <c r="C14" s="17" t="s">
        <v>463</v>
      </c>
      <c r="D14" s="18"/>
      <c r="E14" s="18" t="str">
        <f t="shared" si="0"/>
        <v/>
      </c>
      <c r="F14" s="18">
        <v>20</v>
      </c>
      <c r="G14" s="18">
        <f t="shared" si="1"/>
        <v>220</v>
      </c>
    </row>
    <row r="15" spans="1:7" x14ac:dyDescent="0.25">
      <c r="A15" s="15">
        <v>12</v>
      </c>
      <c r="B15" s="16"/>
      <c r="C15" s="17" t="s">
        <v>464</v>
      </c>
      <c r="D15" s="18"/>
      <c r="E15" s="18" t="str">
        <f t="shared" si="0"/>
        <v/>
      </c>
      <c r="F15" s="18">
        <v>15</v>
      </c>
      <c r="G15" s="18">
        <f t="shared" si="1"/>
        <v>180</v>
      </c>
    </row>
    <row r="16" spans="1:7" x14ac:dyDescent="0.25">
      <c r="A16" s="15">
        <v>64</v>
      </c>
      <c r="B16" s="16"/>
      <c r="C16" s="17" t="s">
        <v>463</v>
      </c>
      <c r="D16" s="18"/>
      <c r="E16" s="18" t="str">
        <f t="shared" si="0"/>
        <v/>
      </c>
      <c r="F16" s="18">
        <v>20</v>
      </c>
      <c r="G16" s="18">
        <f t="shared" si="1"/>
        <v>1280</v>
      </c>
    </row>
    <row r="17" spans="3:7" x14ac:dyDescent="0.25">
      <c r="C17" s="10" t="s">
        <v>167</v>
      </c>
      <c r="E17" s="11">
        <f>SUM(E8:E16)</f>
        <v>0</v>
      </c>
      <c r="G17" s="11">
        <f>SUM(G8:G16)</f>
        <v>6420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9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56</v>
      </c>
      <c r="G5" s="6" t="s">
        <v>67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98</v>
      </c>
      <c r="B8" s="16"/>
      <c r="C8" s="17" t="s">
        <v>465</v>
      </c>
      <c r="D8" s="18"/>
      <c r="E8" s="18" t="str">
        <f>IF(ISNUMBER(D8), A8*D8, "")</f>
        <v/>
      </c>
      <c r="F8" s="18">
        <v>35</v>
      </c>
      <c r="G8" s="18">
        <f>A8*F8</f>
        <v>3430</v>
      </c>
    </row>
    <row r="9" spans="1:7" x14ac:dyDescent="0.25">
      <c r="C9" s="10" t="s">
        <v>167</v>
      </c>
      <c r="E9" s="11">
        <f>SUM(E8:E8)</f>
        <v>0</v>
      </c>
      <c r="G9" s="11">
        <f>SUM(G8:G8)</f>
        <v>3430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6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61</v>
      </c>
      <c r="G5" s="6" t="s">
        <v>69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10</v>
      </c>
      <c r="B8" s="16"/>
      <c r="C8" s="17" t="s">
        <v>466</v>
      </c>
      <c r="D8" s="18"/>
      <c r="E8" s="18" t="str">
        <f t="shared" ref="E8:E35" si="0">IF(ISNUMBER(D8), A8*D8, "")</f>
        <v/>
      </c>
      <c r="F8" s="18">
        <v>120</v>
      </c>
      <c r="G8" s="18">
        <f t="shared" ref="G8:G35" si="1">A8*F8</f>
        <v>1200</v>
      </c>
    </row>
    <row r="9" spans="1:7" x14ac:dyDescent="0.25">
      <c r="A9" s="15">
        <v>13</v>
      </c>
      <c r="B9" s="16"/>
      <c r="C9" s="17" t="s">
        <v>467</v>
      </c>
      <c r="D9" s="18"/>
      <c r="E9" s="18" t="str">
        <f t="shared" si="0"/>
        <v/>
      </c>
      <c r="F9" s="18">
        <v>30</v>
      </c>
      <c r="G9" s="18">
        <f t="shared" si="1"/>
        <v>390</v>
      </c>
    </row>
    <row r="10" spans="1:7" x14ac:dyDescent="0.25">
      <c r="A10" s="15">
        <v>8</v>
      </c>
      <c r="B10" s="16"/>
      <c r="C10" s="17" t="s">
        <v>468</v>
      </c>
      <c r="D10" s="18"/>
      <c r="E10" s="18" t="str">
        <f t="shared" si="0"/>
        <v/>
      </c>
      <c r="F10" s="18">
        <v>110</v>
      </c>
      <c r="G10" s="18">
        <f t="shared" si="1"/>
        <v>880</v>
      </c>
    </row>
    <row r="11" spans="1:7" x14ac:dyDescent="0.25">
      <c r="A11" s="15">
        <v>8</v>
      </c>
      <c r="B11" s="16"/>
      <c r="C11" s="17" t="s">
        <v>469</v>
      </c>
      <c r="D11" s="18"/>
      <c r="E11" s="18" t="str">
        <f t="shared" si="0"/>
        <v/>
      </c>
      <c r="F11" s="18">
        <v>140</v>
      </c>
      <c r="G11" s="18">
        <f t="shared" si="1"/>
        <v>1120</v>
      </c>
    </row>
    <row r="12" spans="1:7" x14ac:dyDescent="0.25">
      <c r="A12" s="15">
        <v>2</v>
      </c>
      <c r="B12" s="16"/>
      <c r="C12" s="17" t="s">
        <v>470</v>
      </c>
      <c r="D12" s="18"/>
      <c r="E12" s="18" t="str">
        <f t="shared" si="0"/>
        <v/>
      </c>
      <c r="F12" s="18">
        <v>40</v>
      </c>
      <c r="G12" s="18">
        <f t="shared" si="1"/>
        <v>80</v>
      </c>
    </row>
    <row r="13" spans="1:7" x14ac:dyDescent="0.25">
      <c r="A13" s="15">
        <v>10</v>
      </c>
      <c r="B13" s="16"/>
      <c r="C13" s="17" t="s">
        <v>471</v>
      </c>
      <c r="D13" s="18"/>
      <c r="E13" s="18" t="str">
        <f t="shared" si="0"/>
        <v/>
      </c>
      <c r="F13" s="18">
        <v>120</v>
      </c>
      <c r="G13" s="18">
        <f t="shared" si="1"/>
        <v>1200</v>
      </c>
    </row>
    <row r="14" spans="1:7" x14ac:dyDescent="0.25">
      <c r="A14" s="15">
        <v>6</v>
      </c>
      <c r="B14" s="16"/>
      <c r="C14" s="17" t="s">
        <v>472</v>
      </c>
      <c r="D14" s="18"/>
      <c r="E14" s="18" t="str">
        <f t="shared" si="0"/>
        <v/>
      </c>
      <c r="F14" s="18">
        <v>140</v>
      </c>
      <c r="G14" s="18">
        <f t="shared" si="1"/>
        <v>840</v>
      </c>
    </row>
    <row r="15" spans="1:7" x14ac:dyDescent="0.25">
      <c r="A15" s="15">
        <v>14</v>
      </c>
      <c r="B15" s="16"/>
      <c r="C15" s="17" t="s">
        <v>473</v>
      </c>
      <c r="D15" s="18"/>
      <c r="E15" s="18" t="str">
        <f t="shared" si="0"/>
        <v/>
      </c>
      <c r="F15" s="18">
        <v>45</v>
      </c>
      <c r="G15" s="18">
        <f t="shared" si="1"/>
        <v>630</v>
      </c>
    </row>
    <row r="16" spans="1:7" x14ac:dyDescent="0.25">
      <c r="A16" s="15">
        <v>28</v>
      </c>
      <c r="B16" s="16"/>
      <c r="C16" s="17" t="s">
        <v>474</v>
      </c>
      <c r="D16" s="18"/>
      <c r="E16" s="18" t="str">
        <f t="shared" si="0"/>
        <v/>
      </c>
      <c r="F16" s="18">
        <v>15</v>
      </c>
      <c r="G16" s="18">
        <f t="shared" si="1"/>
        <v>420</v>
      </c>
    </row>
    <row r="17" spans="1:7" x14ac:dyDescent="0.25">
      <c r="A17" s="15">
        <v>3</v>
      </c>
      <c r="B17" s="16"/>
      <c r="C17" s="17" t="s">
        <v>452</v>
      </c>
      <c r="D17" s="18"/>
      <c r="E17" s="18" t="str">
        <f t="shared" si="0"/>
        <v/>
      </c>
      <c r="F17" s="18">
        <v>30</v>
      </c>
      <c r="G17" s="18">
        <f t="shared" si="1"/>
        <v>90</v>
      </c>
    </row>
    <row r="18" spans="1:7" x14ac:dyDescent="0.25">
      <c r="A18" s="15">
        <v>27</v>
      </c>
      <c r="B18" s="16"/>
      <c r="C18" s="17" t="s">
        <v>475</v>
      </c>
      <c r="D18" s="18"/>
      <c r="E18" s="18" t="str">
        <f t="shared" si="0"/>
        <v/>
      </c>
      <c r="F18" s="18">
        <v>25</v>
      </c>
      <c r="G18" s="18">
        <f t="shared" si="1"/>
        <v>675</v>
      </c>
    </row>
    <row r="19" spans="1:7" x14ac:dyDescent="0.25">
      <c r="A19" s="15">
        <v>15</v>
      </c>
      <c r="B19" s="16"/>
      <c r="C19" s="17" t="s">
        <v>476</v>
      </c>
      <c r="D19" s="18"/>
      <c r="E19" s="18" t="str">
        <f t="shared" si="0"/>
        <v/>
      </c>
      <c r="F19" s="18">
        <v>20</v>
      </c>
      <c r="G19" s="18">
        <f t="shared" si="1"/>
        <v>300</v>
      </c>
    </row>
    <row r="20" spans="1:7" x14ac:dyDescent="0.25">
      <c r="A20" s="15">
        <v>5</v>
      </c>
      <c r="B20" s="16"/>
      <c r="C20" s="17" t="s">
        <v>477</v>
      </c>
      <c r="D20" s="18"/>
      <c r="E20" s="18" t="str">
        <f t="shared" si="0"/>
        <v/>
      </c>
      <c r="F20" s="18">
        <v>15</v>
      </c>
      <c r="G20" s="18">
        <f t="shared" si="1"/>
        <v>75</v>
      </c>
    </row>
    <row r="21" spans="1:7" x14ac:dyDescent="0.25">
      <c r="A21" s="15">
        <v>10</v>
      </c>
      <c r="B21" s="16"/>
      <c r="C21" s="17" t="s">
        <v>478</v>
      </c>
      <c r="D21" s="18"/>
      <c r="E21" s="18" t="str">
        <f t="shared" si="0"/>
        <v/>
      </c>
      <c r="F21" s="18">
        <v>240</v>
      </c>
      <c r="G21" s="18">
        <f t="shared" si="1"/>
        <v>2400</v>
      </c>
    </row>
    <row r="22" spans="1:7" x14ac:dyDescent="0.25">
      <c r="A22" s="15">
        <v>10</v>
      </c>
      <c r="B22" s="16"/>
      <c r="C22" s="17" t="s">
        <v>479</v>
      </c>
      <c r="D22" s="18"/>
      <c r="E22" s="18" t="str">
        <f t="shared" si="0"/>
        <v/>
      </c>
      <c r="F22" s="18">
        <v>310</v>
      </c>
      <c r="G22" s="18">
        <f t="shared" si="1"/>
        <v>3100</v>
      </c>
    </row>
    <row r="23" spans="1:7" x14ac:dyDescent="0.25">
      <c r="A23" s="15">
        <v>5</v>
      </c>
      <c r="B23" s="16"/>
      <c r="C23" s="17" t="s">
        <v>480</v>
      </c>
      <c r="D23" s="18"/>
      <c r="E23" s="18" t="str">
        <f t="shared" si="0"/>
        <v/>
      </c>
      <c r="F23" s="18">
        <v>420</v>
      </c>
      <c r="G23" s="18">
        <f t="shared" si="1"/>
        <v>2100</v>
      </c>
    </row>
    <row r="24" spans="1:7" x14ac:dyDescent="0.25">
      <c r="A24" s="15">
        <v>5</v>
      </c>
      <c r="B24" s="16"/>
      <c r="C24" s="17" t="s">
        <v>481</v>
      </c>
      <c r="D24" s="18"/>
      <c r="E24" s="18" t="str">
        <f t="shared" si="0"/>
        <v/>
      </c>
      <c r="F24" s="18">
        <v>105</v>
      </c>
      <c r="G24" s="18">
        <f t="shared" si="1"/>
        <v>525</v>
      </c>
    </row>
    <row r="25" spans="1:7" x14ac:dyDescent="0.25">
      <c r="A25" s="15">
        <v>6</v>
      </c>
      <c r="B25" s="16"/>
      <c r="C25" s="17" t="s">
        <v>482</v>
      </c>
      <c r="D25" s="18"/>
      <c r="E25" s="18" t="str">
        <f t="shared" si="0"/>
        <v/>
      </c>
      <c r="F25" s="18">
        <v>75</v>
      </c>
      <c r="G25" s="18">
        <f t="shared" si="1"/>
        <v>450</v>
      </c>
    </row>
    <row r="26" spans="1:7" x14ac:dyDescent="0.25">
      <c r="A26" s="15">
        <v>14</v>
      </c>
      <c r="B26" s="16"/>
      <c r="C26" s="17" t="s">
        <v>483</v>
      </c>
      <c r="D26" s="18"/>
      <c r="E26" s="18" t="str">
        <f t="shared" si="0"/>
        <v/>
      </c>
      <c r="F26" s="18">
        <v>55</v>
      </c>
      <c r="G26" s="18">
        <f t="shared" si="1"/>
        <v>770</v>
      </c>
    </row>
    <row r="27" spans="1:7" x14ac:dyDescent="0.25">
      <c r="A27" s="15">
        <v>30</v>
      </c>
      <c r="B27" s="16"/>
      <c r="C27" s="17" t="s">
        <v>484</v>
      </c>
      <c r="D27" s="18"/>
      <c r="E27" s="18" t="str">
        <f t="shared" si="0"/>
        <v/>
      </c>
      <c r="F27" s="18">
        <v>110</v>
      </c>
      <c r="G27" s="18">
        <f t="shared" si="1"/>
        <v>3300</v>
      </c>
    </row>
    <row r="28" spans="1:7" x14ac:dyDescent="0.25">
      <c r="A28" s="15">
        <v>30</v>
      </c>
      <c r="B28" s="16"/>
      <c r="C28" s="17" t="s">
        <v>485</v>
      </c>
      <c r="D28" s="18"/>
      <c r="E28" s="18" t="str">
        <f t="shared" si="0"/>
        <v/>
      </c>
      <c r="F28" s="18">
        <v>30</v>
      </c>
      <c r="G28" s="18">
        <f t="shared" si="1"/>
        <v>900</v>
      </c>
    </row>
    <row r="29" spans="1:7" x14ac:dyDescent="0.25">
      <c r="A29" s="15">
        <v>8</v>
      </c>
      <c r="B29" s="16"/>
      <c r="C29" s="17" t="s">
        <v>486</v>
      </c>
      <c r="D29" s="18"/>
      <c r="E29" s="18" t="str">
        <f t="shared" si="0"/>
        <v/>
      </c>
      <c r="F29" s="18">
        <v>35</v>
      </c>
      <c r="G29" s="18">
        <f t="shared" si="1"/>
        <v>280</v>
      </c>
    </row>
    <row r="30" spans="1:7" x14ac:dyDescent="0.25">
      <c r="A30" s="15">
        <v>5</v>
      </c>
      <c r="B30" s="16"/>
      <c r="C30" s="17" t="s">
        <v>487</v>
      </c>
      <c r="D30" s="18"/>
      <c r="E30" s="18" t="str">
        <f t="shared" si="0"/>
        <v/>
      </c>
      <c r="F30" s="18">
        <v>40</v>
      </c>
      <c r="G30" s="18">
        <f t="shared" si="1"/>
        <v>200</v>
      </c>
    </row>
    <row r="31" spans="1:7" x14ac:dyDescent="0.25">
      <c r="A31" s="15">
        <v>10</v>
      </c>
      <c r="B31" s="16"/>
      <c r="C31" s="17" t="s">
        <v>488</v>
      </c>
      <c r="D31" s="18"/>
      <c r="E31" s="18" t="str">
        <f t="shared" si="0"/>
        <v/>
      </c>
      <c r="F31" s="18">
        <v>20</v>
      </c>
      <c r="G31" s="18">
        <f t="shared" si="1"/>
        <v>200</v>
      </c>
    </row>
    <row r="32" spans="1:7" x14ac:dyDescent="0.25">
      <c r="A32" s="15">
        <v>10</v>
      </c>
      <c r="B32" s="16"/>
      <c r="C32" s="17" t="s">
        <v>489</v>
      </c>
      <c r="D32" s="18"/>
      <c r="E32" s="18" t="str">
        <f t="shared" si="0"/>
        <v/>
      </c>
      <c r="F32" s="18">
        <v>20</v>
      </c>
      <c r="G32" s="18">
        <f t="shared" si="1"/>
        <v>200</v>
      </c>
    </row>
    <row r="33" spans="1:7" x14ac:dyDescent="0.25">
      <c r="A33" s="15">
        <v>8</v>
      </c>
      <c r="B33" s="16"/>
      <c r="C33" s="17" t="s">
        <v>490</v>
      </c>
      <c r="D33" s="18"/>
      <c r="E33" s="18" t="str">
        <f t="shared" si="0"/>
        <v/>
      </c>
      <c r="F33" s="18">
        <v>10</v>
      </c>
      <c r="G33" s="18">
        <f t="shared" si="1"/>
        <v>80</v>
      </c>
    </row>
    <row r="34" spans="1:7" x14ac:dyDescent="0.25">
      <c r="A34" s="15">
        <v>28</v>
      </c>
      <c r="B34" s="16"/>
      <c r="C34" s="17" t="s">
        <v>491</v>
      </c>
      <c r="D34" s="18"/>
      <c r="E34" s="18" t="str">
        <f t="shared" si="0"/>
        <v/>
      </c>
      <c r="F34" s="18">
        <v>115</v>
      </c>
      <c r="G34" s="18">
        <f t="shared" si="1"/>
        <v>3220</v>
      </c>
    </row>
    <row r="35" spans="1:7" x14ac:dyDescent="0.25">
      <c r="A35" s="15">
        <v>2</v>
      </c>
      <c r="B35" s="16"/>
      <c r="C35" s="17" t="s">
        <v>492</v>
      </c>
      <c r="D35" s="18"/>
      <c r="E35" s="18" t="str">
        <f t="shared" si="0"/>
        <v/>
      </c>
      <c r="F35" s="18">
        <v>325</v>
      </c>
      <c r="G35" s="18">
        <f t="shared" si="1"/>
        <v>650</v>
      </c>
    </row>
    <row r="36" spans="1:7" x14ac:dyDescent="0.25">
      <c r="C36" s="10" t="s">
        <v>167</v>
      </c>
      <c r="E36" s="11">
        <f>SUM(E8:E35)</f>
        <v>0</v>
      </c>
      <c r="G36" s="11">
        <f>SUM(G8:G35)</f>
        <v>26275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8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53</v>
      </c>
      <c r="G5" s="6" t="s">
        <v>71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2</v>
      </c>
      <c r="B8" s="16"/>
      <c r="C8" s="17" t="s">
        <v>493</v>
      </c>
      <c r="D8" s="18"/>
      <c r="E8" s="18" t="str">
        <f t="shared" ref="E8:E17" si="0">IF(ISNUMBER(D8), A8*D8, "")</f>
        <v/>
      </c>
      <c r="F8" s="18">
        <v>355</v>
      </c>
      <c r="G8" s="18">
        <f t="shared" ref="G8:G17" si="1">A8*F8</f>
        <v>710</v>
      </c>
    </row>
    <row r="9" spans="1:7" x14ac:dyDescent="0.25">
      <c r="A9" s="15">
        <v>5</v>
      </c>
      <c r="B9" s="16"/>
      <c r="C9" s="17" t="s">
        <v>494</v>
      </c>
      <c r="D9" s="18"/>
      <c r="E9" s="18" t="str">
        <f t="shared" si="0"/>
        <v/>
      </c>
      <c r="F9" s="18">
        <v>230</v>
      </c>
      <c r="G9" s="18">
        <f t="shared" si="1"/>
        <v>1150</v>
      </c>
    </row>
    <row r="10" spans="1:7" x14ac:dyDescent="0.25">
      <c r="A10" s="15">
        <v>11</v>
      </c>
      <c r="B10" s="16"/>
      <c r="C10" s="17" t="s">
        <v>495</v>
      </c>
      <c r="D10" s="18"/>
      <c r="E10" s="18" t="str">
        <f t="shared" si="0"/>
        <v/>
      </c>
      <c r="F10" s="18">
        <v>215</v>
      </c>
      <c r="G10" s="18">
        <f t="shared" si="1"/>
        <v>2365</v>
      </c>
    </row>
    <row r="11" spans="1:7" x14ac:dyDescent="0.25">
      <c r="A11" s="15">
        <v>20</v>
      </c>
      <c r="B11" s="16"/>
      <c r="C11" s="17" t="s">
        <v>184</v>
      </c>
      <c r="D11" s="18"/>
      <c r="E11" s="18" t="str">
        <f t="shared" si="0"/>
        <v/>
      </c>
      <c r="F11" s="18">
        <v>180</v>
      </c>
      <c r="G11" s="18">
        <f t="shared" si="1"/>
        <v>3600</v>
      </c>
    </row>
    <row r="12" spans="1:7" x14ac:dyDescent="0.25">
      <c r="A12" s="15">
        <v>2</v>
      </c>
      <c r="B12" s="16"/>
      <c r="C12" s="17" t="s">
        <v>496</v>
      </c>
      <c r="D12" s="18"/>
      <c r="E12" s="18" t="str">
        <f t="shared" si="0"/>
        <v/>
      </c>
      <c r="F12" s="18">
        <v>365</v>
      </c>
      <c r="G12" s="18">
        <f t="shared" si="1"/>
        <v>730</v>
      </c>
    </row>
    <row r="13" spans="1:7" x14ac:dyDescent="0.25">
      <c r="A13" s="15">
        <v>1</v>
      </c>
      <c r="B13" s="16"/>
      <c r="C13" s="17" t="s">
        <v>497</v>
      </c>
      <c r="D13" s="18"/>
      <c r="E13" s="18" t="str">
        <f t="shared" si="0"/>
        <v/>
      </c>
      <c r="F13" s="18">
        <v>80</v>
      </c>
      <c r="G13" s="18">
        <f t="shared" si="1"/>
        <v>80</v>
      </c>
    </row>
    <row r="14" spans="1:7" x14ac:dyDescent="0.25">
      <c r="A14" s="15">
        <v>15</v>
      </c>
      <c r="B14" s="16"/>
      <c r="C14" s="17" t="s">
        <v>498</v>
      </c>
      <c r="D14" s="18"/>
      <c r="E14" s="18" t="str">
        <f t="shared" si="0"/>
        <v/>
      </c>
      <c r="F14" s="18">
        <v>165</v>
      </c>
      <c r="G14" s="18">
        <f t="shared" si="1"/>
        <v>2475</v>
      </c>
    </row>
    <row r="15" spans="1:7" x14ac:dyDescent="0.25">
      <c r="A15" s="15">
        <v>3</v>
      </c>
      <c r="B15" s="16"/>
      <c r="C15" s="17" t="s">
        <v>499</v>
      </c>
      <c r="D15" s="18"/>
      <c r="E15" s="18" t="str">
        <f t="shared" si="0"/>
        <v/>
      </c>
      <c r="F15" s="18">
        <v>270</v>
      </c>
      <c r="G15" s="18">
        <f t="shared" si="1"/>
        <v>810</v>
      </c>
    </row>
    <row r="16" spans="1:7" x14ac:dyDescent="0.25">
      <c r="A16" s="15">
        <v>1</v>
      </c>
      <c r="B16" s="16"/>
      <c r="C16" s="17" t="s">
        <v>500</v>
      </c>
      <c r="D16" s="18"/>
      <c r="E16" s="18" t="str">
        <f t="shared" si="0"/>
        <v/>
      </c>
      <c r="F16" s="18">
        <v>295</v>
      </c>
      <c r="G16" s="18">
        <f t="shared" si="1"/>
        <v>295</v>
      </c>
    </row>
    <row r="17" spans="1:7" x14ac:dyDescent="0.25">
      <c r="A17" s="15">
        <v>9</v>
      </c>
      <c r="B17" s="16"/>
      <c r="C17" s="17" t="s">
        <v>401</v>
      </c>
      <c r="D17" s="18"/>
      <c r="E17" s="18" t="str">
        <f t="shared" si="0"/>
        <v/>
      </c>
      <c r="F17" s="18">
        <v>40</v>
      </c>
      <c r="G17" s="18">
        <f t="shared" si="1"/>
        <v>360</v>
      </c>
    </row>
    <row r="18" spans="1:7" x14ac:dyDescent="0.25">
      <c r="C18" s="10" t="s">
        <v>167</v>
      </c>
      <c r="E18" s="11">
        <f>SUM(E8:E17)</f>
        <v>0</v>
      </c>
      <c r="G18" s="11">
        <f>SUM(G8:G17)</f>
        <v>12575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3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53</v>
      </c>
      <c r="G5" s="6" t="s">
        <v>73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6</v>
      </c>
      <c r="B8" s="16"/>
      <c r="C8" s="17" t="s">
        <v>501</v>
      </c>
      <c r="D8" s="18"/>
      <c r="E8" s="18" t="str">
        <f>IF(ISNUMBER(D8), A8*D8, "")</f>
        <v/>
      </c>
      <c r="F8" s="18">
        <v>295</v>
      </c>
      <c r="G8" s="18">
        <f>A8*F8</f>
        <v>1770</v>
      </c>
    </row>
    <row r="9" spans="1:7" x14ac:dyDescent="0.25">
      <c r="A9" s="15">
        <v>1</v>
      </c>
      <c r="B9" s="16"/>
      <c r="C9" s="17" t="s">
        <v>502</v>
      </c>
      <c r="D9" s="18"/>
      <c r="E9" s="18" t="str">
        <f>IF(ISNUMBER(D9), A9*D9, "")</f>
        <v/>
      </c>
      <c r="F9" s="18">
        <v>500</v>
      </c>
      <c r="G9" s="18">
        <f>A9*F9</f>
        <v>500</v>
      </c>
    </row>
    <row r="10" spans="1:7" x14ac:dyDescent="0.25">
      <c r="A10" s="15">
        <v>5</v>
      </c>
      <c r="B10" s="16"/>
      <c r="C10" s="17" t="s">
        <v>503</v>
      </c>
      <c r="D10" s="18"/>
      <c r="E10" s="18" t="str">
        <f>IF(ISNUMBER(D10), A10*D10, "")</f>
        <v/>
      </c>
      <c r="F10" s="18">
        <v>270</v>
      </c>
      <c r="G10" s="18">
        <f>A10*F10</f>
        <v>1350</v>
      </c>
    </row>
    <row r="11" spans="1:7" x14ac:dyDescent="0.25">
      <c r="A11" s="15">
        <v>3</v>
      </c>
      <c r="B11" s="16"/>
      <c r="C11" s="17" t="s">
        <v>504</v>
      </c>
      <c r="D11" s="18"/>
      <c r="E11" s="18" t="str">
        <f>IF(ISNUMBER(D11), A11*D11, "")</f>
        <v/>
      </c>
      <c r="F11" s="18">
        <v>150</v>
      </c>
      <c r="G11" s="18">
        <f>A11*F11</f>
        <v>450</v>
      </c>
    </row>
    <row r="12" spans="1:7" x14ac:dyDescent="0.25">
      <c r="A12" s="15">
        <v>7</v>
      </c>
      <c r="B12" s="16"/>
      <c r="C12" s="17" t="s">
        <v>174</v>
      </c>
      <c r="D12" s="18"/>
      <c r="E12" s="18" t="str">
        <f>IF(ISNUMBER(D12), A12*D12, "")</f>
        <v/>
      </c>
      <c r="F12" s="18">
        <v>195</v>
      </c>
      <c r="G12" s="18">
        <f>A12*F12</f>
        <v>1365</v>
      </c>
    </row>
    <row r="13" spans="1:7" x14ac:dyDescent="0.25">
      <c r="C13" s="10" t="s">
        <v>167</v>
      </c>
      <c r="E13" s="11">
        <f>SUM(E8:E12)</f>
        <v>0</v>
      </c>
      <c r="G13" s="11">
        <f>SUM(G8:G12)</f>
        <v>5435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3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53</v>
      </c>
      <c r="G5" s="6" t="s">
        <v>75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18</v>
      </c>
      <c r="B8" s="16"/>
      <c r="C8" s="17" t="s">
        <v>505</v>
      </c>
      <c r="D8" s="18"/>
      <c r="E8" s="18" t="str">
        <f>IF(ISNUMBER(D8), A8*D8, "")</f>
        <v/>
      </c>
      <c r="F8" s="18">
        <v>195</v>
      </c>
      <c r="G8" s="18">
        <f>A8*F8</f>
        <v>3510</v>
      </c>
    </row>
    <row r="9" spans="1:7" x14ac:dyDescent="0.25">
      <c r="A9" s="15">
        <v>3</v>
      </c>
      <c r="B9" s="16"/>
      <c r="C9" s="17" t="s">
        <v>506</v>
      </c>
      <c r="D9" s="18"/>
      <c r="E9" s="18" t="str">
        <f>IF(ISNUMBER(D9), A9*D9, "")</f>
        <v/>
      </c>
      <c r="F9" s="18">
        <v>412.5</v>
      </c>
      <c r="G9" s="18">
        <f>A9*F9</f>
        <v>1237.5</v>
      </c>
    </row>
    <row r="10" spans="1:7" x14ac:dyDescent="0.25">
      <c r="A10" s="15">
        <v>24</v>
      </c>
      <c r="B10" s="16"/>
      <c r="C10" s="17" t="s">
        <v>507</v>
      </c>
      <c r="D10" s="18"/>
      <c r="E10" s="18" t="str">
        <f>IF(ISNUMBER(D10), A10*D10, "")</f>
        <v/>
      </c>
      <c r="F10" s="18">
        <v>21</v>
      </c>
      <c r="G10" s="18">
        <f>A10*F10</f>
        <v>504</v>
      </c>
    </row>
    <row r="11" spans="1:7" x14ac:dyDescent="0.25">
      <c r="A11" s="15">
        <v>9</v>
      </c>
      <c r="B11" s="16"/>
      <c r="C11" s="17" t="s">
        <v>400</v>
      </c>
      <c r="D11" s="18"/>
      <c r="E11" s="18" t="str">
        <f>IF(ISNUMBER(D11), A11*D11, "")</f>
        <v/>
      </c>
      <c r="F11" s="18">
        <v>60</v>
      </c>
      <c r="G11" s="18">
        <f>A11*F11</f>
        <v>540</v>
      </c>
    </row>
    <row r="12" spans="1:7" x14ac:dyDescent="0.25">
      <c r="A12" s="15">
        <v>16</v>
      </c>
      <c r="B12" s="16"/>
      <c r="C12" s="17" t="s">
        <v>399</v>
      </c>
      <c r="D12" s="18"/>
      <c r="E12" s="18" t="str">
        <f>IF(ISNUMBER(D12), A12*D12, "")</f>
        <v/>
      </c>
      <c r="F12" s="18">
        <v>30</v>
      </c>
      <c r="G12" s="18">
        <f>A12*F12</f>
        <v>480</v>
      </c>
    </row>
    <row r="13" spans="1:7" x14ac:dyDescent="0.25">
      <c r="C13" s="10" t="s">
        <v>167</v>
      </c>
      <c r="E13" s="11">
        <f>SUM(E8:E12)</f>
        <v>0</v>
      </c>
      <c r="G13" s="11">
        <f>SUM(G8:G12)</f>
        <v>6271.5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9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53</v>
      </c>
      <c r="G5" s="6" t="s">
        <v>77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3</v>
      </c>
      <c r="B8" s="16"/>
      <c r="C8" s="17" t="s">
        <v>508</v>
      </c>
      <c r="D8" s="18"/>
      <c r="E8" s="18" t="str">
        <f t="shared" ref="E8:E38" si="0">IF(ISNUMBER(D8), A8*D8, "")</f>
        <v/>
      </c>
      <c r="F8" s="18">
        <v>105</v>
      </c>
      <c r="G8" s="18">
        <f t="shared" ref="G8:G38" si="1">A8*F8</f>
        <v>315</v>
      </c>
    </row>
    <row r="9" spans="1:7" x14ac:dyDescent="0.25">
      <c r="A9" s="15">
        <v>24</v>
      </c>
      <c r="B9" s="16"/>
      <c r="C9" s="17" t="s">
        <v>509</v>
      </c>
      <c r="D9" s="18"/>
      <c r="E9" s="18" t="str">
        <f t="shared" si="0"/>
        <v/>
      </c>
      <c r="F9" s="18">
        <v>65</v>
      </c>
      <c r="G9" s="18">
        <f t="shared" si="1"/>
        <v>1560</v>
      </c>
    </row>
    <row r="10" spans="1:7" x14ac:dyDescent="0.25">
      <c r="A10" s="15">
        <v>10</v>
      </c>
      <c r="B10" s="16"/>
      <c r="C10" s="17" t="s">
        <v>510</v>
      </c>
      <c r="D10" s="18"/>
      <c r="E10" s="18" t="str">
        <f t="shared" si="0"/>
        <v/>
      </c>
      <c r="F10" s="18">
        <v>85</v>
      </c>
      <c r="G10" s="18">
        <f t="shared" si="1"/>
        <v>850</v>
      </c>
    </row>
    <row r="11" spans="1:7" x14ac:dyDescent="0.25">
      <c r="A11" s="15">
        <v>4</v>
      </c>
      <c r="B11" s="16"/>
      <c r="C11" s="17" t="s">
        <v>511</v>
      </c>
      <c r="D11" s="18"/>
      <c r="E11" s="18" t="str">
        <f t="shared" si="0"/>
        <v/>
      </c>
      <c r="F11" s="18">
        <v>25</v>
      </c>
      <c r="G11" s="18">
        <f t="shared" si="1"/>
        <v>100</v>
      </c>
    </row>
    <row r="12" spans="1:7" x14ac:dyDescent="0.25">
      <c r="A12" s="15">
        <v>6</v>
      </c>
      <c r="B12" s="16"/>
      <c r="C12" s="17" t="s">
        <v>512</v>
      </c>
      <c r="D12" s="18"/>
      <c r="E12" s="18" t="str">
        <f t="shared" si="0"/>
        <v/>
      </c>
      <c r="F12" s="18">
        <v>40</v>
      </c>
      <c r="G12" s="18">
        <f t="shared" si="1"/>
        <v>240</v>
      </c>
    </row>
    <row r="13" spans="1:7" x14ac:dyDescent="0.25">
      <c r="A13" s="15">
        <v>32</v>
      </c>
      <c r="B13" s="16"/>
      <c r="C13" s="17" t="s">
        <v>513</v>
      </c>
      <c r="D13" s="18"/>
      <c r="E13" s="18" t="str">
        <f t="shared" si="0"/>
        <v/>
      </c>
      <c r="F13" s="18">
        <v>30</v>
      </c>
      <c r="G13" s="18">
        <f t="shared" si="1"/>
        <v>960</v>
      </c>
    </row>
    <row r="14" spans="1:7" x14ac:dyDescent="0.25">
      <c r="A14" s="15">
        <v>4</v>
      </c>
      <c r="B14" s="16"/>
      <c r="C14" s="17" t="s">
        <v>514</v>
      </c>
      <c r="D14" s="18"/>
      <c r="E14" s="18" t="str">
        <f t="shared" si="0"/>
        <v/>
      </c>
      <c r="F14" s="18">
        <v>60</v>
      </c>
      <c r="G14" s="18">
        <f t="shared" si="1"/>
        <v>240</v>
      </c>
    </row>
    <row r="15" spans="1:7" x14ac:dyDescent="0.25">
      <c r="A15" s="15">
        <v>12</v>
      </c>
      <c r="B15" s="16"/>
      <c r="C15" s="17" t="s">
        <v>515</v>
      </c>
      <c r="D15" s="18"/>
      <c r="E15" s="18" t="str">
        <f t="shared" si="0"/>
        <v/>
      </c>
      <c r="F15" s="18">
        <v>45</v>
      </c>
      <c r="G15" s="18">
        <f t="shared" si="1"/>
        <v>540</v>
      </c>
    </row>
    <row r="16" spans="1:7" x14ac:dyDescent="0.25">
      <c r="A16" s="15">
        <v>6</v>
      </c>
      <c r="B16" s="16"/>
      <c r="C16" s="17" t="s">
        <v>516</v>
      </c>
      <c r="D16" s="18"/>
      <c r="E16" s="18" t="str">
        <f t="shared" si="0"/>
        <v/>
      </c>
      <c r="F16" s="18">
        <v>60</v>
      </c>
      <c r="G16" s="18">
        <f t="shared" si="1"/>
        <v>360</v>
      </c>
    </row>
    <row r="17" spans="1:7" x14ac:dyDescent="0.25">
      <c r="A17" s="15">
        <v>16</v>
      </c>
      <c r="B17" s="16"/>
      <c r="C17" s="17" t="s">
        <v>517</v>
      </c>
      <c r="D17" s="18"/>
      <c r="E17" s="18" t="str">
        <f t="shared" si="0"/>
        <v/>
      </c>
      <c r="F17" s="18">
        <v>75</v>
      </c>
      <c r="G17" s="18">
        <f t="shared" si="1"/>
        <v>1200</v>
      </c>
    </row>
    <row r="18" spans="1:7" x14ac:dyDescent="0.25">
      <c r="A18" s="15">
        <v>1</v>
      </c>
      <c r="B18" s="16"/>
      <c r="C18" s="17" t="s">
        <v>518</v>
      </c>
      <c r="D18" s="18"/>
      <c r="E18" s="18" t="str">
        <f t="shared" si="0"/>
        <v/>
      </c>
      <c r="F18" s="18">
        <v>70</v>
      </c>
      <c r="G18" s="18">
        <f t="shared" si="1"/>
        <v>70</v>
      </c>
    </row>
    <row r="19" spans="1:7" x14ac:dyDescent="0.25">
      <c r="A19" s="15">
        <v>19</v>
      </c>
      <c r="B19" s="16"/>
      <c r="C19" s="17" t="s">
        <v>519</v>
      </c>
      <c r="D19" s="18"/>
      <c r="E19" s="18" t="str">
        <f t="shared" si="0"/>
        <v/>
      </c>
      <c r="F19" s="18">
        <v>25</v>
      </c>
      <c r="G19" s="18">
        <f t="shared" si="1"/>
        <v>475</v>
      </c>
    </row>
    <row r="20" spans="1:7" x14ac:dyDescent="0.25">
      <c r="A20" s="15">
        <v>19</v>
      </c>
      <c r="B20" s="16"/>
      <c r="C20" s="17" t="s">
        <v>520</v>
      </c>
      <c r="D20" s="18"/>
      <c r="E20" s="18" t="str">
        <f t="shared" si="0"/>
        <v/>
      </c>
      <c r="F20" s="18">
        <v>95</v>
      </c>
      <c r="G20" s="18">
        <f t="shared" si="1"/>
        <v>1805</v>
      </c>
    </row>
    <row r="21" spans="1:7" x14ac:dyDescent="0.25">
      <c r="A21" s="15">
        <v>12</v>
      </c>
      <c r="B21" s="16"/>
      <c r="C21" s="17" t="s">
        <v>521</v>
      </c>
      <c r="D21" s="18"/>
      <c r="E21" s="18" t="str">
        <f t="shared" si="0"/>
        <v/>
      </c>
      <c r="F21" s="18">
        <v>35</v>
      </c>
      <c r="G21" s="18">
        <f t="shared" si="1"/>
        <v>420</v>
      </c>
    </row>
    <row r="22" spans="1:7" x14ac:dyDescent="0.25">
      <c r="A22" s="15">
        <v>10</v>
      </c>
      <c r="B22" s="16"/>
      <c r="C22" s="17" t="s">
        <v>522</v>
      </c>
      <c r="D22" s="18"/>
      <c r="E22" s="18" t="str">
        <f t="shared" si="0"/>
        <v/>
      </c>
      <c r="F22" s="18">
        <v>30</v>
      </c>
      <c r="G22" s="18">
        <f t="shared" si="1"/>
        <v>300</v>
      </c>
    </row>
    <row r="23" spans="1:7" x14ac:dyDescent="0.25">
      <c r="A23" s="15">
        <v>8</v>
      </c>
      <c r="B23" s="16"/>
      <c r="C23" s="17" t="s">
        <v>523</v>
      </c>
      <c r="D23" s="18"/>
      <c r="E23" s="18" t="str">
        <f t="shared" si="0"/>
        <v/>
      </c>
      <c r="F23" s="18">
        <v>75</v>
      </c>
      <c r="G23" s="18">
        <f t="shared" si="1"/>
        <v>600</v>
      </c>
    </row>
    <row r="24" spans="1:7" x14ac:dyDescent="0.25">
      <c r="A24" s="15">
        <v>5</v>
      </c>
      <c r="B24" s="16"/>
      <c r="C24" s="17" t="s">
        <v>524</v>
      </c>
      <c r="D24" s="18"/>
      <c r="E24" s="18" t="str">
        <f t="shared" si="0"/>
        <v/>
      </c>
      <c r="F24" s="18">
        <v>75</v>
      </c>
      <c r="G24" s="18">
        <f t="shared" si="1"/>
        <v>375</v>
      </c>
    </row>
    <row r="25" spans="1:7" x14ac:dyDescent="0.25">
      <c r="A25" s="15">
        <v>3</v>
      </c>
      <c r="B25" s="16"/>
      <c r="C25" s="17" t="s">
        <v>525</v>
      </c>
      <c r="D25" s="18"/>
      <c r="E25" s="18" t="str">
        <f t="shared" si="0"/>
        <v/>
      </c>
      <c r="F25" s="18">
        <v>20</v>
      </c>
      <c r="G25" s="18">
        <f t="shared" si="1"/>
        <v>60</v>
      </c>
    </row>
    <row r="26" spans="1:7" x14ac:dyDescent="0.25">
      <c r="A26" s="15">
        <v>1</v>
      </c>
      <c r="B26" s="16"/>
      <c r="C26" s="17" t="s">
        <v>526</v>
      </c>
      <c r="D26" s="18"/>
      <c r="E26" s="18" t="str">
        <f t="shared" si="0"/>
        <v/>
      </c>
      <c r="F26" s="18">
        <v>30</v>
      </c>
      <c r="G26" s="18">
        <f t="shared" si="1"/>
        <v>30</v>
      </c>
    </row>
    <row r="27" spans="1:7" x14ac:dyDescent="0.25">
      <c r="A27" s="15">
        <v>1</v>
      </c>
      <c r="B27" s="16"/>
      <c r="C27" s="17" t="s">
        <v>253</v>
      </c>
      <c r="D27" s="18"/>
      <c r="E27" s="18" t="str">
        <f t="shared" si="0"/>
        <v/>
      </c>
      <c r="F27" s="18">
        <v>20</v>
      </c>
      <c r="G27" s="18">
        <f t="shared" si="1"/>
        <v>20</v>
      </c>
    </row>
    <row r="28" spans="1:7" x14ac:dyDescent="0.25">
      <c r="A28" s="15">
        <v>1</v>
      </c>
      <c r="B28" s="16"/>
      <c r="C28" s="17" t="s">
        <v>254</v>
      </c>
      <c r="D28" s="18"/>
      <c r="E28" s="18" t="str">
        <f t="shared" si="0"/>
        <v/>
      </c>
      <c r="F28" s="18">
        <v>15</v>
      </c>
      <c r="G28" s="18">
        <f t="shared" si="1"/>
        <v>15</v>
      </c>
    </row>
    <row r="29" spans="1:7" x14ac:dyDescent="0.25">
      <c r="A29" s="15">
        <v>21</v>
      </c>
      <c r="B29" s="16"/>
      <c r="C29" s="17" t="s">
        <v>527</v>
      </c>
      <c r="D29" s="18"/>
      <c r="E29" s="18" t="str">
        <f t="shared" si="0"/>
        <v/>
      </c>
      <c r="F29" s="18">
        <v>35</v>
      </c>
      <c r="G29" s="18">
        <f t="shared" si="1"/>
        <v>735</v>
      </c>
    </row>
    <row r="30" spans="1:7" x14ac:dyDescent="0.25">
      <c r="A30" s="15">
        <v>37</v>
      </c>
      <c r="B30" s="16"/>
      <c r="C30" s="17" t="s">
        <v>528</v>
      </c>
      <c r="D30" s="18"/>
      <c r="E30" s="18" t="str">
        <f t="shared" si="0"/>
        <v/>
      </c>
      <c r="F30" s="18">
        <v>15</v>
      </c>
      <c r="G30" s="18">
        <f t="shared" si="1"/>
        <v>555</v>
      </c>
    </row>
    <row r="31" spans="1:7" x14ac:dyDescent="0.25">
      <c r="A31" s="15">
        <v>18</v>
      </c>
      <c r="B31" s="16"/>
      <c r="C31" s="17" t="s">
        <v>529</v>
      </c>
      <c r="D31" s="18"/>
      <c r="E31" s="18" t="str">
        <f t="shared" si="0"/>
        <v/>
      </c>
      <c r="F31" s="18">
        <v>110</v>
      </c>
      <c r="G31" s="18">
        <f t="shared" si="1"/>
        <v>1980</v>
      </c>
    </row>
    <row r="32" spans="1:7" x14ac:dyDescent="0.25">
      <c r="A32" s="15">
        <v>7</v>
      </c>
      <c r="B32" s="16"/>
      <c r="C32" s="17" t="s">
        <v>384</v>
      </c>
      <c r="D32" s="18"/>
      <c r="E32" s="18" t="str">
        <f t="shared" si="0"/>
        <v/>
      </c>
      <c r="F32" s="18">
        <v>20</v>
      </c>
      <c r="G32" s="18">
        <f t="shared" si="1"/>
        <v>140</v>
      </c>
    </row>
    <row r="33" spans="1:7" x14ac:dyDescent="0.25">
      <c r="A33" s="15">
        <v>12</v>
      </c>
      <c r="B33" s="16"/>
      <c r="C33" s="17" t="s">
        <v>530</v>
      </c>
      <c r="D33" s="18"/>
      <c r="E33" s="18" t="str">
        <f t="shared" si="0"/>
        <v/>
      </c>
      <c r="F33" s="18">
        <v>20</v>
      </c>
      <c r="G33" s="18">
        <f t="shared" si="1"/>
        <v>240</v>
      </c>
    </row>
    <row r="34" spans="1:7" x14ac:dyDescent="0.25">
      <c r="A34" s="15">
        <v>30</v>
      </c>
      <c r="B34" s="16"/>
      <c r="C34" s="17" t="s">
        <v>531</v>
      </c>
      <c r="D34" s="18"/>
      <c r="E34" s="18" t="str">
        <f t="shared" si="0"/>
        <v/>
      </c>
      <c r="F34" s="18">
        <v>30</v>
      </c>
      <c r="G34" s="18">
        <f t="shared" si="1"/>
        <v>900</v>
      </c>
    </row>
    <row r="35" spans="1:7" x14ac:dyDescent="0.25">
      <c r="A35" s="15">
        <v>10</v>
      </c>
      <c r="B35" s="16"/>
      <c r="C35" s="17" t="s">
        <v>532</v>
      </c>
      <c r="D35" s="18"/>
      <c r="E35" s="18" t="str">
        <f t="shared" si="0"/>
        <v/>
      </c>
      <c r="F35" s="18">
        <v>30</v>
      </c>
      <c r="G35" s="18">
        <f t="shared" si="1"/>
        <v>300</v>
      </c>
    </row>
    <row r="36" spans="1:7" x14ac:dyDescent="0.25">
      <c r="A36" s="15">
        <v>21</v>
      </c>
      <c r="B36" s="16"/>
      <c r="C36" s="17" t="s">
        <v>533</v>
      </c>
      <c r="D36" s="18"/>
      <c r="E36" s="18" t="str">
        <f t="shared" si="0"/>
        <v/>
      </c>
      <c r="F36" s="18">
        <v>25</v>
      </c>
      <c r="G36" s="18">
        <f t="shared" si="1"/>
        <v>525</v>
      </c>
    </row>
    <row r="37" spans="1:7" x14ac:dyDescent="0.25">
      <c r="A37" s="15">
        <v>43</v>
      </c>
      <c r="B37" s="16"/>
      <c r="C37" s="17" t="s">
        <v>534</v>
      </c>
      <c r="D37" s="18"/>
      <c r="E37" s="18" t="str">
        <f t="shared" si="0"/>
        <v/>
      </c>
      <c r="F37" s="18">
        <v>30</v>
      </c>
      <c r="G37" s="18">
        <f t="shared" si="1"/>
        <v>1290</v>
      </c>
    </row>
    <row r="38" spans="1:7" x14ac:dyDescent="0.25">
      <c r="A38" s="15">
        <v>47</v>
      </c>
      <c r="B38" s="16"/>
      <c r="C38" s="17" t="s">
        <v>535</v>
      </c>
      <c r="D38" s="18"/>
      <c r="E38" s="18" t="str">
        <f t="shared" si="0"/>
        <v/>
      </c>
      <c r="F38" s="18">
        <v>35</v>
      </c>
      <c r="G38" s="18">
        <f t="shared" si="1"/>
        <v>1645</v>
      </c>
    </row>
    <row r="39" spans="1:7" x14ac:dyDescent="0.25">
      <c r="C39" s="10" t="s">
        <v>167</v>
      </c>
      <c r="E39" s="11">
        <f>SUM(E8:E38)</f>
        <v>0</v>
      </c>
      <c r="G39" s="11">
        <f>SUM(G8:G38)</f>
        <v>18845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80</v>
      </c>
      <c r="G5" s="6" t="s">
        <v>79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7</v>
      </c>
      <c r="B8" s="16"/>
      <c r="C8" s="17" t="s">
        <v>536</v>
      </c>
      <c r="D8" s="18"/>
      <c r="E8" s="18" t="str">
        <f t="shared" ref="E8:E23" si="0">IF(ISNUMBER(D8), A8*D8, "")</f>
        <v/>
      </c>
      <c r="F8" s="18">
        <v>200</v>
      </c>
      <c r="G8" s="18">
        <f t="shared" ref="G8:G23" si="1">A8*F8</f>
        <v>1400</v>
      </c>
    </row>
    <row r="9" spans="1:7" x14ac:dyDescent="0.25">
      <c r="A9" s="15">
        <v>16</v>
      </c>
      <c r="B9" s="16"/>
      <c r="C9" s="17" t="s">
        <v>537</v>
      </c>
      <c r="D9" s="18"/>
      <c r="E9" s="18" t="str">
        <f t="shared" si="0"/>
        <v/>
      </c>
      <c r="F9" s="18">
        <v>210</v>
      </c>
      <c r="G9" s="18">
        <f t="shared" si="1"/>
        <v>3360</v>
      </c>
    </row>
    <row r="10" spans="1:7" x14ac:dyDescent="0.25">
      <c r="A10" s="15">
        <v>7</v>
      </c>
      <c r="B10" s="16"/>
      <c r="C10" s="17" t="s">
        <v>538</v>
      </c>
      <c r="D10" s="18"/>
      <c r="E10" s="18" t="str">
        <f t="shared" si="0"/>
        <v/>
      </c>
      <c r="F10" s="18">
        <v>450</v>
      </c>
      <c r="G10" s="18">
        <f t="shared" si="1"/>
        <v>3150</v>
      </c>
    </row>
    <row r="11" spans="1:7" x14ac:dyDescent="0.25">
      <c r="A11" s="15">
        <v>12</v>
      </c>
      <c r="B11" s="16"/>
      <c r="C11" s="17" t="s">
        <v>539</v>
      </c>
      <c r="D11" s="18"/>
      <c r="E11" s="18" t="str">
        <f t="shared" si="0"/>
        <v/>
      </c>
      <c r="F11" s="18">
        <v>215</v>
      </c>
      <c r="G11" s="18">
        <f t="shared" si="1"/>
        <v>2580</v>
      </c>
    </row>
    <row r="12" spans="1:7" x14ac:dyDescent="0.25">
      <c r="A12" s="15">
        <v>10</v>
      </c>
      <c r="B12" s="16"/>
      <c r="C12" s="17" t="s">
        <v>540</v>
      </c>
      <c r="D12" s="18"/>
      <c r="E12" s="18" t="str">
        <f t="shared" si="0"/>
        <v/>
      </c>
      <c r="F12" s="18">
        <v>355</v>
      </c>
      <c r="G12" s="18">
        <f t="shared" si="1"/>
        <v>3550</v>
      </c>
    </row>
    <row r="13" spans="1:7" x14ac:dyDescent="0.25">
      <c r="A13" s="15">
        <v>6</v>
      </c>
      <c r="B13" s="16"/>
      <c r="C13" s="17" t="s">
        <v>541</v>
      </c>
      <c r="D13" s="18"/>
      <c r="E13" s="18" t="str">
        <f t="shared" si="0"/>
        <v/>
      </c>
      <c r="F13" s="18">
        <v>365</v>
      </c>
      <c r="G13" s="18">
        <f t="shared" si="1"/>
        <v>2190</v>
      </c>
    </row>
    <row r="14" spans="1:7" x14ac:dyDescent="0.25">
      <c r="A14" s="15">
        <v>12</v>
      </c>
      <c r="B14" s="16"/>
      <c r="C14" s="17" t="s">
        <v>542</v>
      </c>
      <c r="D14" s="18"/>
      <c r="E14" s="18" t="str">
        <f t="shared" si="0"/>
        <v/>
      </c>
      <c r="F14" s="18">
        <v>170</v>
      </c>
      <c r="G14" s="18">
        <f t="shared" si="1"/>
        <v>2040</v>
      </c>
    </row>
    <row r="15" spans="1:7" x14ac:dyDescent="0.25">
      <c r="A15" s="15">
        <v>1</v>
      </c>
      <c r="B15" s="16"/>
      <c r="C15" s="17" t="s">
        <v>354</v>
      </c>
      <c r="D15" s="18"/>
      <c r="E15" s="18" t="str">
        <f t="shared" si="0"/>
        <v/>
      </c>
      <c r="F15" s="18">
        <v>250</v>
      </c>
      <c r="G15" s="18">
        <f t="shared" si="1"/>
        <v>250</v>
      </c>
    </row>
    <row r="16" spans="1:7" x14ac:dyDescent="0.25">
      <c r="A16" s="15">
        <v>1</v>
      </c>
      <c r="B16" s="16"/>
      <c r="C16" s="17" t="s">
        <v>543</v>
      </c>
      <c r="D16" s="18"/>
      <c r="E16" s="18" t="str">
        <f t="shared" si="0"/>
        <v/>
      </c>
      <c r="F16" s="18">
        <v>95</v>
      </c>
      <c r="G16" s="18">
        <f t="shared" si="1"/>
        <v>95</v>
      </c>
    </row>
    <row r="17" spans="1:7" x14ac:dyDescent="0.25">
      <c r="A17" s="15">
        <v>1</v>
      </c>
      <c r="B17" s="16"/>
      <c r="C17" s="17" t="s">
        <v>498</v>
      </c>
      <c r="D17" s="18"/>
      <c r="E17" s="18" t="str">
        <f t="shared" si="0"/>
        <v/>
      </c>
      <c r="F17" s="18">
        <v>165</v>
      </c>
      <c r="G17" s="18">
        <f t="shared" si="1"/>
        <v>165</v>
      </c>
    </row>
    <row r="18" spans="1:7" x14ac:dyDescent="0.25">
      <c r="A18" s="15">
        <v>1</v>
      </c>
      <c r="B18" s="16"/>
      <c r="C18" s="17" t="s">
        <v>499</v>
      </c>
      <c r="D18" s="18"/>
      <c r="E18" s="18" t="str">
        <f t="shared" si="0"/>
        <v/>
      </c>
      <c r="F18" s="18">
        <v>270</v>
      </c>
      <c r="G18" s="18">
        <f t="shared" si="1"/>
        <v>270</v>
      </c>
    </row>
    <row r="19" spans="1:7" x14ac:dyDescent="0.25">
      <c r="A19" s="15">
        <v>2</v>
      </c>
      <c r="B19" s="16"/>
      <c r="C19" s="17" t="s">
        <v>544</v>
      </c>
      <c r="D19" s="18"/>
      <c r="E19" s="18" t="str">
        <f t="shared" si="0"/>
        <v/>
      </c>
      <c r="F19" s="18">
        <v>240</v>
      </c>
      <c r="G19" s="18">
        <f t="shared" si="1"/>
        <v>480</v>
      </c>
    </row>
    <row r="20" spans="1:7" x14ac:dyDescent="0.25">
      <c r="A20" s="15">
        <v>9</v>
      </c>
      <c r="B20" s="16"/>
      <c r="C20" s="17" t="s">
        <v>209</v>
      </c>
      <c r="D20" s="18"/>
      <c r="E20" s="18" t="str">
        <f t="shared" si="0"/>
        <v/>
      </c>
      <c r="F20" s="18">
        <v>285</v>
      </c>
      <c r="G20" s="18">
        <f t="shared" si="1"/>
        <v>2565</v>
      </c>
    </row>
    <row r="21" spans="1:7" x14ac:dyDescent="0.25">
      <c r="A21" s="15">
        <v>10</v>
      </c>
      <c r="B21" s="16"/>
      <c r="C21" s="17" t="s">
        <v>424</v>
      </c>
      <c r="D21" s="18"/>
      <c r="E21" s="18" t="str">
        <f t="shared" si="0"/>
        <v/>
      </c>
      <c r="F21" s="18">
        <v>150</v>
      </c>
      <c r="G21" s="18">
        <f t="shared" si="1"/>
        <v>1500</v>
      </c>
    </row>
    <row r="22" spans="1:7" x14ac:dyDescent="0.25">
      <c r="A22" s="15">
        <v>10</v>
      </c>
      <c r="B22" s="16"/>
      <c r="C22" s="17" t="s">
        <v>545</v>
      </c>
      <c r="D22" s="18"/>
      <c r="E22" s="18" t="str">
        <f t="shared" si="0"/>
        <v/>
      </c>
      <c r="F22" s="18">
        <v>150</v>
      </c>
      <c r="G22" s="18">
        <f t="shared" si="1"/>
        <v>1500</v>
      </c>
    </row>
    <row r="23" spans="1:7" x14ac:dyDescent="0.25">
      <c r="A23" s="15">
        <v>20</v>
      </c>
      <c r="B23" s="16"/>
      <c r="C23" s="17" t="s">
        <v>546</v>
      </c>
      <c r="D23" s="18"/>
      <c r="E23" s="18" t="str">
        <f t="shared" si="0"/>
        <v/>
      </c>
      <c r="F23" s="18">
        <v>110</v>
      </c>
      <c r="G23" s="18">
        <f t="shared" si="1"/>
        <v>2200</v>
      </c>
    </row>
    <row r="24" spans="1:7" x14ac:dyDescent="0.25">
      <c r="C24" s="10" t="s">
        <v>167</v>
      </c>
      <c r="E24" s="11">
        <f>SUM(E8:E23)</f>
        <v>0</v>
      </c>
      <c r="G24" s="11">
        <f>SUM(G8:G23)</f>
        <v>27295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2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80</v>
      </c>
      <c r="G5" s="6" t="s">
        <v>82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1200</v>
      </c>
      <c r="B8" s="16"/>
      <c r="C8" s="17" t="s">
        <v>148</v>
      </c>
      <c r="D8" s="18"/>
      <c r="E8" s="18" t="str">
        <f t="shared" ref="E8:E21" si="0">IF(ISNUMBER(D8), A8*D8, "")</f>
        <v/>
      </c>
      <c r="F8" s="18">
        <v>1</v>
      </c>
      <c r="G8" s="18">
        <f t="shared" ref="G8:G21" si="1">A8*F8</f>
        <v>1200</v>
      </c>
    </row>
    <row r="9" spans="1:7" x14ac:dyDescent="0.25">
      <c r="A9" s="15">
        <v>2750</v>
      </c>
      <c r="B9" s="16"/>
      <c r="C9" s="17" t="s">
        <v>147</v>
      </c>
      <c r="D9" s="18"/>
      <c r="E9" s="18" t="str">
        <f t="shared" si="0"/>
        <v/>
      </c>
      <c r="F9" s="18">
        <v>1</v>
      </c>
      <c r="G9" s="18">
        <f t="shared" si="1"/>
        <v>2750</v>
      </c>
    </row>
    <row r="10" spans="1:7" x14ac:dyDescent="0.25">
      <c r="A10" s="15">
        <v>580</v>
      </c>
      <c r="B10" s="16"/>
      <c r="C10" s="17" t="s">
        <v>547</v>
      </c>
      <c r="D10" s="18"/>
      <c r="E10" s="18" t="str">
        <f t="shared" si="0"/>
        <v/>
      </c>
      <c r="F10" s="18">
        <v>1</v>
      </c>
      <c r="G10" s="18">
        <f t="shared" si="1"/>
        <v>580</v>
      </c>
    </row>
    <row r="11" spans="1:7" x14ac:dyDescent="0.25">
      <c r="A11" s="15">
        <v>820</v>
      </c>
      <c r="B11" s="16"/>
      <c r="C11" s="17" t="s">
        <v>548</v>
      </c>
      <c r="D11" s="18"/>
      <c r="E11" s="18" t="str">
        <f t="shared" si="0"/>
        <v/>
      </c>
      <c r="F11" s="18">
        <v>1</v>
      </c>
      <c r="G11" s="18">
        <f t="shared" si="1"/>
        <v>820</v>
      </c>
    </row>
    <row r="12" spans="1:7" x14ac:dyDescent="0.25">
      <c r="A12" s="15">
        <v>1600</v>
      </c>
      <c r="B12" s="16"/>
      <c r="C12" s="17" t="s">
        <v>146</v>
      </c>
      <c r="D12" s="18"/>
      <c r="E12" s="18" t="str">
        <f t="shared" si="0"/>
        <v/>
      </c>
      <c r="F12" s="18">
        <v>1</v>
      </c>
      <c r="G12" s="18">
        <f t="shared" si="1"/>
        <v>1600</v>
      </c>
    </row>
    <row r="13" spans="1:7" x14ac:dyDescent="0.25">
      <c r="A13" s="15">
        <v>1650</v>
      </c>
      <c r="B13" s="16" t="s">
        <v>111</v>
      </c>
      <c r="C13" s="17" t="s">
        <v>549</v>
      </c>
      <c r="D13" s="18"/>
      <c r="E13" s="18" t="str">
        <f t="shared" si="0"/>
        <v/>
      </c>
      <c r="F13" s="18">
        <v>1</v>
      </c>
      <c r="G13" s="18">
        <f t="shared" si="1"/>
        <v>1650</v>
      </c>
    </row>
    <row r="14" spans="1:7" x14ac:dyDescent="0.25">
      <c r="A14" s="15">
        <v>1500</v>
      </c>
      <c r="B14" s="16"/>
      <c r="C14" s="17" t="s">
        <v>550</v>
      </c>
      <c r="D14" s="18"/>
      <c r="E14" s="18" t="str">
        <f t="shared" si="0"/>
        <v/>
      </c>
      <c r="F14" s="18">
        <v>1</v>
      </c>
      <c r="G14" s="18">
        <f t="shared" si="1"/>
        <v>1500</v>
      </c>
    </row>
    <row r="15" spans="1:7" x14ac:dyDescent="0.25">
      <c r="A15" s="15">
        <v>2720</v>
      </c>
      <c r="B15" s="16"/>
      <c r="C15" s="17" t="s">
        <v>143</v>
      </c>
      <c r="D15" s="18"/>
      <c r="E15" s="18" t="str">
        <f t="shared" si="0"/>
        <v/>
      </c>
      <c r="F15" s="18">
        <v>1</v>
      </c>
      <c r="G15" s="18">
        <f t="shared" si="1"/>
        <v>2720</v>
      </c>
    </row>
    <row r="16" spans="1:7" x14ac:dyDescent="0.25">
      <c r="A16" s="15">
        <v>1900</v>
      </c>
      <c r="B16" s="16"/>
      <c r="C16" s="17" t="s">
        <v>144</v>
      </c>
      <c r="D16" s="18"/>
      <c r="E16" s="18" t="str">
        <f t="shared" si="0"/>
        <v/>
      </c>
      <c r="F16" s="18">
        <v>1</v>
      </c>
      <c r="G16" s="18">
        <f t="shared" si="1"/>
        <v>1900</v>
      </c>
    </row>
    <row r="17" spans="1:7" x14ac:dyDescent="0.25">
      <c r="A17" s="15">
        <v>800</v>
      </c>
      <c r="B17" s="16"/>
      <c r="C17" s="17" t="s">
        <v>145</v>
      </c>
      <c r="D17" s="18"/>
      <c r="E17" s="18" t="str">
        <f t="shared" si="0"/>
        <v/>
      </c>
      <c r="F17" s="18">
        <v>1</v>
      </c>
      <c r="G17" s="18">
        <f t="shared" si="1"/>
        <v>800</v>
      </c>
    </row>
    <row r="18" spans="1:7" x14ac:dyDescent="0.25">
      <c r="A18" s="15">
        <v>1200</v>
      </c>
      <c r="B18" s="16"/>
      <c r="C18" s="17" t="s">
        <v>551</v>
      </c>
      <c r="D18" s="18"/>
      <c r="E18" s="18" t="str">
        <f t="shared" si="0"/>
        <v/>
      </c>
      <c r="F18" s="18">
        <v>1</v>
      </c>
      <c r="G18" s="18">
        <f t="shared" si="1"/>
        <v>1200</v>
      </c>
    </row>
    <row r="19" spans="1:7" x14ac:dyDescent="0.25">
      <c r="A19" s="15">
        <v>320</v>
      </c>
      <c r="B19" s="16"/>
      <c r="C19" s="17" t="s">
        <v>142</v>
      </c>
      <c r="D19" s="18"/>
      <c r="E19" s="18" t="str">
        <f t="shared" si="0"/>
        <v/>
      </c>
      <c r="F19" s="18">
        <v>1</v>
      </c>
      <c r="G19" s="18">
        <f t="shared" si="1"/>
        <v>320</v>
      </c>
    </row>
    <row r="20" spans="1:7" x14ac:dyDescent="0.25">
      <c r="A20" s="15">
        <v>100</v>
      </c>
      <c r="B20" s="16"/>
      <c r="C20" s="17" t="s">
        <v>552</v>
      </c>
      <c r="D20" s="18"/>
      <c r="E20" s="18" t="str">
        <f t="shared" si="0"/>
        <v/>
      </c>
      <c r="F20" s="18">
        <v>1</v>
      </c>
      <c r="G20" s="18">
        <f t="shared" si="1"/>
        <v>100</v>
      </c>
    </row>
    <row r="21" spans="1:7" x14ac:dyDescent="0.25">
      <c r="A21" s="15">
        <v>100</v>
      </c>
      <c r="B21" s="16"/>
      <c r="C21" s="17" t="s">
        <v>553</v>
      </c>
      <c r="D21" s="18"/>
      <c r="E21" s="18" t="str">
        <f t="shared" si="0"/>
        <v/>
      </c>
      <c r="F21" s="18">
        <v>1</v>
      </c>
      <c r="G21" s="18">
        <f t="shared" si="1"/>
        <v>100</v>
      </c>
    </row>
    <row r="22" spans="1:7" x14ac:dyDescent="0.25">
      <c r="C22" s="10" t="s">
        <v>167</v>
      </c>
      <c r="E22" s="11">
        <f>SUM(E8:E21)</f>
        <v>0</v>
      </c>
      <c r="G22" s="11">
        <f>SUM(G8:G21)</f>
        <v>17240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4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85</v>
      </c>
      <c r="G5" s="6" t="s">
        <v>84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1</v>
      </c>
      <c r="B8" s="16"/>
      <c r="C8" s="17" t="s">
        <v>381</v>
      </c>
      <c r="D8" s="18"/>
      <c r="E8" s="18" t="str">
        <f t="shared" ref="E8:E13" si="0">IF(ISNUMBER(D8), A8*D8, "")</f>
        <v/>
      </c>
      <c r="F8" s="18">
        <v>15</v>
      </c>
      <c r="G8" s="18">
        <f t="shared" ref="G8:G13" si="1">A8*F8</f>
        <v>15</v>
      </c>
    </row>
    <row r="9" spans="1:7" x14ac:dyDescent="0.25">
      <c r="A9" s="15">
        <v>3</v>
      </c>
      <c r="B9" s="16"/>
      <c r="C9" s="17" t="s">
        <v>554</v>
      </c>
      <c r="D9" s="18"/>
      <c r="E9" s="18" t="str">
        <f t="shared" si="0"/>
        <v/>
      </c>
      <c r="F9" s="18">
        <v>15</v>
      </c>
      <c r="G9" s="18">
        <f t="shared" si="1"/>
        <v>45</v>
      </c>
    </row>
    <row r="10" spans="1:7" x14ac:dyDescent="0.25">
      <c r="A10" s="15">
        <v>1</v>
      </c>
      <c r="B10" s="16"/>
      <c r="C10" s="17" t="s">
        <v>380</v>
      </c>
      <c r="D10" s="18"/>
      <c r="E10" s="18" t="str">
        <f t="shared" si="0"/>
        <v/>
      </c>
      <c r="F10" s="18">
        <v>20</v>
      </c>
      <c r="G10" s="18">
        <f t="shared" si="1"/>
        <v>20</v>
      </c>
    </row>
    <row r="11" spans="1:7" x14ac:dyDescent="0.25">
      <c r="A11" s="15">
        <v>3</v>
      </c>
      <c r="B11" s="16"/>
      <c r="C11" s="17" t="s">
        <v>555</v>
      </c>
      <c r="D11" s="18"/>
      <c r="E11" s="18" t="str">
        <f t="shared" si="0"/>
        <v/>
      </c>
      <c r="F11" s="18">
        <v>20</v>
      </c>
      <c r="G11" s="18">
        <f t="shared" si="1"/>
        <v>60</v>
      </c>
    </row>
    <row r="12" spans="1:7" x14ac:dyDescent="0.25">
      <c r="A12" s="15">
        <v>10</v>
      </c>
      <c r="B12" s="16"/>
      <c r="C12" s="17" t="s">
        <v>462</v>
      </c>
      <c r="D12" s="18"/>
      <c r="E12" s="18" t="str">
        <f t="shared" si="0"/>
        <v/>
      </c>
      <c r="F12" s="18">
        <v>20</v>
      </c>
      <c r="G12" s="18">
        <f t="shared" si="1"/>
        <v>200</v>
      </c>
    </row>
    <row r="13" spans="1:7" x14ac:dyDescent="0.25">
      <c r="A13" s="15">
        <v>25</v>
      </c>
      <c r="B13" s="16"/>
      <c r="C13" s="17" t="s">
        <v>556</v>
      </c>
      <c r="D13" s="18"/>
      <c r="E13" s="18" t="str">
        <f t="shared" si="0"/>
        <v/>
      </c>
      <c r="F13" s="18">
        <v>17</v>
      </c>
      <c r="G13" s="18">
        <f t="shared" si="1"/>
        <v>425</v>
      </c>
    </row>
    <row r="14" spans="1:7" x14ac:dyDescent="0.25">
      <c r="C14" s="10" t="s">
        <v>167</v>
      </c>
      <c r="E14" s="11">
        <f>SUM(E8:E13)</f>
        <v>0</v>
      </c>
      <c r="G14" s="11">
        <f>SUM(G8:G13)</f>
        <v>765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1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85</v>
      </c>
      <c r="G5" s="6" t="s">
        <v>87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20</v>
      </c>
      <c r="B8" s="16"/>
      <c r="C8" s="17" t="s">
        <v>557</v>
      </c>
      <c r="D8" s="18"/>
      <c r="E8" s="18" t="str">
        <f>IF(ISNUMBER(D8), A8*D8, "")</f>
        <v/>
      </c>
      <c r="F8" s="18">
        <v>64</v>
      </c>
      <c r="G8" s="18">
        <f>A8*F8</f>
        <v>1280</v>
      </c>
    </row>
    <row r="9" spans="1:7" x14ac:dyDescent="0.25">
      <c r="A9" s="15">
        <v>188</v>
      </c>
      <c r="B9" s="16"/>
      <c r="C9" s="17" t="s">
        <v>297</v>
      </c>
      <c r="D9" s="18"/>
      <c r="E9" s="18" t="str">
        <f>IF(ISNUMBER(D9), A9*D9, "")</f>
        <v/>
      </c>
      <c r="F9" s="18">
        <v>14</v>
      </c>
      <c r="G9" s="18">
        <f>A9*F9</f>
        <v>2632</v>
      </c>
    </row>
    <row r="10" spans="1:7" x14ac:dyDescent="0.25">
      <c r="A10" s="15">
        <v>78</v>
      </c>
      <c r="B10" s="16"/>
      <c r="C10" s="17" t="s">
        <v>556</v>
      </c>
      <c r="D10" s="18"/>
      <c r="E10" s="18" t="str">
        <f>IF(ISNUMBER(D10), A10*D10, "")</f>
        <v/>
      </c>
      <c r="F10" s="18">
        <v>17</v>
      </c>
      <c r="G10" s="18">
        <f>A10*F10</f>
        <v>1326</v>
      </c>
    </row>
    <row r="11" spans="1:7" x14ac:dyDescent="0.25">
      <c r="C11" s="10" t="s">
        <v>167</v>
      </c>
      <c r="E11" s="11">
        <f>SUM(E8:E10)</f>
        <v>0</v>
      </c>
      <c r="G11" s="11">
        <f>SUM(G8:G10)</f>
        <v>5238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2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85</v>
      </c>
      <c r="G5" s="6" t="s">
        <v>89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54</v>
      </c>
      <c r="B8" s="16"/>
      <c r="C8" s="17" t="s">
        <v>296</v>
      </c>
      <c r="D8" s="18"/>
      <c r="E8" s="18" t="str">
        <f>IF(ISNUMBER(D8), A8*D8, "")</f>
        <v/>
      </c>
      <c r="F8" s="18">
        <v>27</v>
      </c>
      <c r="G8" s="18">
        <f>A8*F8</f>
        <v>1458</v>
      </c>
    </row>
    <row r="9" spans="1:7" x14ac:dyDescent="0.25">
      <c r="A9" s="15">
        <v>20</v>
      </c>
      <c r="B9" s="16"/>
      <c r="C9" s="17" t="s">
        <v>315</v>
      </c>
      <c r="D9" s="18"/>
      <c r="E9" s="18" t="str">
        <f>IF(ISNUMBER(D9), A9*D9, "")</f>
        <v/>
      </c>
      <c r="F9" s="18">
        <v>25</v>
      </c>
      <c r="G9" s="18">
        <f>A9*F9</f>
        <v>500</v>
      </c>
    </row>
    <row r="10" spans="1:7" x14ac:dyDescent="0.25">
      <c r="A10" s="15">
        <v>13</v>
      </c>
      <c r="B10" s="16"/>
      <c r="C10" s="17" t="s">
        <v>320</v>
      </c>
      <c r="D10" s="18"/>
      <c r="E10" s="18" t="str">
        <f>IF(ISNUMBER(D10), A10*D10, "")</f>
        <v/>
      </c>
      <c r="F10" s="18">
        <v>30</v>
      </c>
      <c r="G10" s="18">
        <f>A10*F10</f>
        <v>390</v>
      </c>
    </row>
    <row r="11" spans="1:7" x14ac:dyDescent="0.25">
      <c r="A11" s="15">
        <v>4</v>
      </c>
      <c r="B11" s="16"/>
      <c r="C11" s="17" t="s">
        <v>324</v>
      </c>
      <c r="D11" s="18"/>
      <c r="E11" s="18" t="str">
        <f>IF(ISNUMBER(D11), A11*D11, "")</f>
        <v/>
      </c>
      <c r="F11" s="18">
        <v>40</v>
      </c>
      <c r="G11" s="18">
        <f>A11*F11</f>
        <v>160</v>
      </c>
    </row>
    <row r="12" spans="1:7" x14ac:dyDescent="0.25">
      <c r="C12" s="10" t="s">
        <v>167</v>
      </c>
      <c r="E12" s="11">
        <f>SUM(E8:E11)</f>
        <v>0</v>
      </c>
      <c r="G12" s="11">
        <f>SUM(G8:G11)</f>
        <v>2508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1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92</v>
      </c>
      <c r="G5" s="6" t="s">
        <v>91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32</v>
      </c>
      <c r="B8" s="16"/>
      <c r="C8" s="17" t="s">
        <v>505</v>
      </c>
      <c r="D8" s="18"/>
      <c r="E8" s="18" t="str">
        <f t="shared" ref="E8:E20" si="0">IF(ISNUMBER(D8), A8*D8, "")</f>
        <v/>
      </c>
      <c r="F8" s="18">
        <v>195</v>
      </c>
      <c r="G8" s="18">
        <f t="shared" ref="G8:G20" si="1">A8*F8</f>
        <v>6240</v>
      </c>
    </row>
    <row r="9" spans="1:7" x14ac:dyDescent="0.25">
      <c r="A9" s="15">
        <v>20</v>
      </c>
      <c r="B9" s="16"/>
      <c r="C9" s="17" t="s">
        <v>558</v>
      </c>
      <c r="D9" s="18"/>
      <c r="E9" s="18" t="str">
        <f t="shared" si="0"/>
        <v/>
      </c>
      <c r="F9" s="18">
        <v>45</v>
      </c>
      <c r="G9" s="18">
        <f t="shared" si="1"/>
        <v>900</v>
      </c>
    </row>
    <row r="10" spans="1:7" x14ac:dyDescent="0.25">
      <c r="A10" s="15">
        <v>4</v>
      </c>
      <c r="B10" s="16"/>
      <c r="C10" s="17" t="s">
        <v>351</v>
      </c>
      <c r="D10" s="18"/>
      <c r="E10" s="18" t="str">
        <f t="shared" si="0"/>
        <v/>
      </c>
      <c r="F10" s="18">
        <v>270</v>
      </c>
      <c r="G10" s="18">
        <f t="shared" si="1"/>
        <v>1080</v>
      </c>
    </row>
    <row r="11" spans="1:7" x14ac:dyDescent="0.25">
      <c r="A11" s="15">
        <v>25</v>
      </c>
      <c r="B11" s="16"/>
      <c r="C11" s="17" t="s">
        <v>559</v>
      </c>
      <c r="D11" s="18"/>
      <c r="E11" s="18" t="str">
        <f t="shared" si="0"/>
        <v/>
      </c>
      <c r="F11" s="18">
        <v>42</v>
      </c>
      <c r="G11" s="18">
        <f t="shared" si="1"/>
        <v>1050</v>
      </c>
    </row>
    <row r="12" spans="1:7" x14ac:dyDescent="0.25">
      <c r="A12" s="15">
        <v>26</v>
      </c>
      <c r="B12" s="16"/>
      <c r="C12" s="17" t="s">
        <v>399</v>
      </c>
      <c r="D12" s="18"/>
      <c r="E12" s="18" t="str">
        <f t="shared" si="0"/>
        <v/>
      </c>
      <c r="F12" s="18">
        <v>30</v>
      </c>
      <c r="G12" s="18">
        <f t="shared" si="1"/>
        <v>780</v>
      </c>
    </row>
    <row r="13" spans="1:7" x14ac:dyDescent="0.25">
      <c r="A13" s="15">
        <v>12</v>
      </c>
      <c r="B13" s="16"/>
      <c r="C13" s="17" t="s">
        <v>560</v>
      </c>
      <c r="D13" s="18"/>
      <c r="E13" s="18" t="str">
        <f t="shared" si="0"/>
        <v/>
      </c>
      <c r="F13" s="18">
        <v>95</v>
      </c>
      <c r="G13" s="18">
        <f t="shared" si="1"/>
        <v>1140</v>
      </c>
    </row>
    <row r="14" spans="1:7" x14ac:dyDescent="0.25">
      <c r="A14" s="15">
        <v>12</v>
      </c>
      <c r="B14" s="16"/>
      <c r="C14" s="17" t="s">
        <v>244</v>
      </c>
      <c r="D14" s="18"/>
      <c r="E14" s="18" t="str">
        <f t="shared" si="0"/>
        <v/>
      </c>
      <c r="F14" s="18">
        <v>34</v>
      </c>
      <c r="G14" s="18">
        <f t="shared" si="1"/>
        <v>408</v>
      </c>
    </row>
    <row r="15" spans="1:7" x14ac:dyDescent="0.25">
      <c r="A15" s="15">
        <v>12</v>
      </c>
      <c r="B15" s="16"/>
      <c r="C15" s="17" t="s">
        <v>561</v>
      </c>
      <c r="D15" s="18"/>
      <c r="E15" s="18" t="str">
        <f t="shared" si="0"/>
        <v/>
      </c>
      <c r="F15" s="18">
        <v>300</v>
      </c>
      <c r="G15" s="18">
        <f t="shared" si="1"/>
        <v>3600</v>
      </c>
    </row>
    <row r="16" spans="1:7" x14ac:dyDescent="0.25">
      <c r="A16" s="15">
        <v>10</v>
      </c>
      <c r="B16" s="16"/>
      <c r="C16" s="17" t="s">
        <v>507</v>
      </c>
      <c r="D16" s="18"/>
      <c r="E16" s="18" t="str">
        <f t="shared" si="0"/>
        <v/>
      </c>
      <c r="F16" s="18">
        <v>21</v>
      </c>
      <c r="G16" s="18">
        <f t="shared" si="1"/>
        <v>210</v>
      </c>
    </row>
    <row r="17" spans="1:7" x14ac:dyDescent="0.25">
      <c r="A17" s="15">
        <v>10</v>
      </c>
      <c r="B17" s="16"/>
      <c r="C17" s="17" t="s">
        <v>562</v>
      </c>
      <c r="D17" s="18"/>
      <c r="E17" s="18" t="str">
        <f t="shared" si="0"/>
        <v/>
      </c>
      <c r="F17" s="18">
        <v>85</v>
      </c>
      <c r="G17" s="18">
        <f t="shared" si="1"/>
        <v>850</v>
      </c>
    </row>
    <row r="18" spans="1:7" x14ac:dyDescent="0.25">
      <c r="A18" s="15">
        <v>20</v>
      </c>
      <c r="B18" s="16"/>
      <c r="C18" s="17" t="s">
        <v>563</v>
      </c>
      <c r="D18" s="18"/>
      <c r="E18" s="18" t="str">
        <f t="shared" si="0"/>
        <v/>
      </c>
      <c r="F18" s="18">
        <v>90</v>
      </c>
      <c r="G18" s="18">
        <f t="shared" si="1"/>
        <v>1800</v>
      </c>
    </row>
    <row r="19" spans="1:7" x14ac:dyDescent="0.25">
      <c r="A19" s="15">
        <v>10</v>
      </c>
      <c r="B19" s="16"/>
      <c r="C19" s="17" t="s">
        <v>564</v>
      </c>
      <c r="D19" s="18"/>
      <c r="E19" s="18" t="str">
        <f t="shared" si="0"/>
        <v/>
      </c>
      <c r="F19" s="18">
        <v>200</v>
      </c>
      <c r="G19" s="18">
        <f t="shared" si="1"/>
        <v>2000</v>
      </c>
    </row>
    <row r="20" spans="1:7" x14ac:dyDescent="0.25">
      <c r="A20" s="15">
        <v>6</v>
      </c>
      <c r="B20" s="16"/>
      <c r="C20" s="17" t="s">
        <v>565</v>
      </c>
      <c r="D20" s="18"/>
      <c r="E20" s="18" t="str">
        <f t="shared" si="0"/>
        <v/>
      </c>
      <c r="F20" s="18">
        <v>245</v>
      </c>
      <c r="G20" s="18">
        <f t="shared" si="1"/>
        <v>1470</v>
      </c>
    </row>
    <row r="21" spans="1:7" x14ac:dyDescent="0.25">
      <c r="C21" s="10" t="s">
        <v>167</v>
      </c>
      <c r="E21" s="11">
        <f>SUM(E8:E20)</f>
        <v>0</v>
      </c>
      <c r="G21" s="11">
        <f>SUM(G8:G20)</f>
        <v>21528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2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92</v>
      </c>
      <c r="G5" s="6" t="s">
        <v>94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8</v>
      </c>
      <c r="B8" s="16"/>
      <c r="C8" s="17" t="s">
        <v>566</v>
      </c>
      <c r="D8" s="18"/>
      <c r="E8" s="18" t="str">
        <f t="shared" ref="E8:E21" si="0">IF(ISNUMBER(D8), A8*D8, "")</f>
        <v/>
      </c>
      <c r="F8" s="18">
        <v>230</v>
      </c>
      <c r="G8" s="18">
        <f t="shared" ref="G8:G21" si="1">A8*F8</f>
        <v>1840</v>
      </c>
    </row>
    <row r="9" spans="1:7" x14ac:dyDescent="0.25">
      <c r="A9" s="15">
        <v>7</v>
      </c>
      <c r="B9" s="16"/>
      <c r="C9" s="17" t="s">
        <v>567</v>
      </c>
      <c r="D9" s="18"/>
      <c r="E9" s="18" t="str">
        <f t="shared" si="0"/>
        <v/>
      </c>
      <c r="F9" s="18">
        <v>635</v>
      </c>
      <c r="G9" s="18">
        <f t="shared" si="1"/>
        <v>4445</v>
      </c>
    </row>
    <row r="10" spans="1:7" x14ac:dyDescent="0.25">
      <c r="A10" s="15">
        <v>6</v>
      </c>
      <c r="B10" s="16"/>
      <c r="C10" s="17" t="s">
        <v>568</v>
      </c>
      <c r="D10" s="18"/>
      <c r="E10" s="18" t="str">
        <f t="shared" si="0"/>
        <v/>
      </c>
      <c r="F10" s="18">
        <v>495</v>
      </c>
      <c r="G10" s="18">
        <f t="shared" si="1"/>
        <v>2970</v>
      </c>
    </row>
    <row r="11" spans="1:7" x14ac:dyDescent="0.25">
      <c r="A11" s="15">
        <v>4</v>
      </c>
      <c r="B11" s="16"/>
      <c r="C11" s="17" t="s">
        <v>426</v>
      </c>
      <c r="D11" s="18"/>
      <c r="E11" s="18" t="str">
        <f t="shared" si="0"/>
        <v/>
      </c>
      <c r="F11" s="18">
        <v>215</v>
      </c>
      <c r="G11" s="18">
        <f t="shared" si="1"/>
        <v>860</v>
      </c>
    </row>
    <row r="12" spans="1:7" x14ac:dyDescent="0.25">
      <c r="A12" s="15">
        <v>2</v>
      </c>
      <c r="B12" s="16"/>
      <c r="C12" s="17" t="s">
        <v>569</v>
      </c>
      <c r="D12" s="18"/>
      <c r="E12" s="18" t="str">
        <f t="shared" si="0"/>
        <v/>
      </c>
      <c r="F12" s="18">
        <v>790</v>
      </c>
      <c r="G12" s="18">
        <f t="shared" si="1"/>
        <v>1580</v>
      </c>
    </row>
    <row r="13" spans="1:7" x14ac:dyDescent="0.25">
      <c r="A13" s="15">
        <v>2</v>
      </c>
      <c r="B13" s="16"/>
      <c r="C13" s="17" t="s">
        <v>570</v>
      </c>
      <c r="D13" s="18"/>
      <c r="E13" s="18" t="str">
        <f t="shared" si="0"/>
        <v/>
      </c>
      <c r="F13" s="18">
        <v>1345</v>
      </c>
      <c r="G13" s="18">
        <f t="shared" si="1"/>
        <v>2690</v>
      </c>
    </row>
    <row r="14" spans="1:7" x14ac:dyDescent="0.25">
      <c r="A14" s="15">
        <v>2</v>
      </c>
      <c r="B14" s="16"/>
      <c r="C14" s="17" t="s">
        <v>195</v>
      </c>
      <c r="D14" s="18"/>
      <c r="E14" s="18" t="str">
        <f t="shared" si="0"/>
        <v/>
      </c>
      <c r="F14" s="18">
        <v>800</v>
      </c>
      <c r="G14" s="18">
        <f t="shared" si="1"/>
        <v>1600</v>
      </c>
    </row>
    <row r="15" spans="1:7" x14ac:dyDescent="0.25">
      <c r="A15" s="15">
        <v>3</v>
      </c>
      <c r="B15" s="16"/>
      <c r="C15" s="17" t="s">
        <v>246</v>
      </c>
      <c r="D15" s="18"/>
      <c r="E15" s="18" t="str">
        <f t="shared" si="0"/>
        <v/>
      </c>
      <c r="F15" s="18">
        <v>60</v>
      </c>
      <c r="G15" s="18">
        <f t="shared" si="1"/>
        <v>180</v>
      </c>
    </row>
    <row r="16" spans="1:7" x14ac:dyDescent="0.25">
      <c r="A16" s="15">
        <v>19</v>
      </c>
      <c r="B16" s="16"/>
      <c r="C16" s="17" t="s">
        <v>571</v>
      </c>
      <c r="D16" s="18"/>
      <c r="E16" s="18" t="str">
        <f t="shared" si="0"/>
        <v/>
      </c>
      <c r="F16" s="18">
        <v>285</v>
      </c>
      <c r="G16" s="18">
        <f t="shared" si="1"/>
        <v>5415</v>
      </c>
    </row>
    <row r="17" spans="1:7" x14ac:dyDescent="0.25">
      <c r="A17" s="15">
        <v>19</v>
      </c>
      <c r="B17" s="16"/>
      <c r="C17" s="17" t="s">
        <v>572</v>
      </c>
      <c r="D17" s="18"/>
      <c r="E17" s="18" t="str">
        <f t="shared" si="0"/>
        <v/>
      </c>
      <c r="F17" s="18">
        <v>500</v>
      </c>
      <c r="G17" s="18">
        <f t="shared" si="1"/>
        <v>9500</v>
      </c>
    </row>
    <row r="18" spans="1:7" x14ac:dyDescent="0.25">
      <c r="A18" s="15">
        <v>11</v>
      </c>
      <c r="B18" s="16"/>
      <c r="C18" s="17" t="s">
        <v>573</v>
      </c>
      <c r="D18" s="18"/>
      <c r="E18" s="18" t="str">
        <f t="shared" si="0"/>
        <v/>
      </c>
      <c r="F18" s="18">
        <v>680</v>
      </c>
      <c r="G18" s="18">
        <f t="shared" si="1"/>
        <v>7480</v>
      </c>
    </row>
    <row r="19" spans="1:7" x14ac:dyDescent="0.25">
      <c r="A19" s="15">
        <v>11</v>
      </c>
      <c r="B19" s="16"/>
      <c r="C19" s="17" t="s">
        <v>574</v>
      </c>
      <c r="D19" s="18"/>
      <c r="E19" s="18" t="str">
        <f t="shared" si="0"/>
        <v/>
      </c>
      <c r="F19" s="18">
        <v>445</v>
      </c>
      <c r="G19" s="18">
        <f t="shared" si="1"/>
        <v>4895</v>
      </c>
    </row>
    <row r="20" spans="1:7" x14ac:dyDescent="0.25">
      <c r="A20" s="15">
        <v>2</v>
      </c>
      <c r="B20" s="16"/>
      <c r="C20" s="17" t="s">
        <v>536</v>
      </c>
      <c r="D20" s="18"/>
      <c r="E20" s="18" t="str">
        <f t="shared" si="0"/>
        <v/>
      </c>
      <c r="F20" s="18">
        <v>200</v>
      </c>
      <c r="G20" s="18">
        <f t="shared" si="1"/>
        <v>400</v>
      </c>
    </row>
    <row r="21" spans="1:7" x14ac:dyDescent="0.25">
      <c r="A21" s="15">
        <v>2</v>
      </c>
      <c r="B21" s="16"/>
      <c r="C21" s="17" t="s">
        <v>575</v>
      </c>
      <c r="D21" s="18"/>
      <c r="E21" s="18" t="str">
        <f t="shared" si="0"/>
        <v/>
      </c>
      <c r="F21" s="18">
        <v>470</v>
      </c>
      <c r="G21" s="18">
        <f t="shared" si="1"/>
        <v>940</v>
      </c>
    </row>
    <row r="22" spans="1:7" x14ac:dyDescent="0.25">
      <c r="C22" s="10" t="s">
        <v>167</v>
      </c>
      <c r="E22" s="11">
        <f>SUM(E8:E21)</f>
        <v>0</v>
      </c>
      <c r="G22" s="11">
        <f>SUM(G8:G21)</f>
        <v>44795</v>
      </c>
    </row>
  </sheetData>
  <mergeCells count="2">
    <mergeCell ref="A5:C5"/>
    <mergeCell ref="A4:C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0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44" customWidth="1"/>
    <col min="4" max="4" width="15" customWidth="1"/>
    <col min="5" max="5" width="16" customWidth="1"/>
    <col min="6" max="6" width="15" customWidth="1"/>
    <col min="7" max="7" width="20" customWidth="1"/>
  </cols>
  <sheetData>
    <row r="1" spans="1:7" ht="18.75" x14ac:dyDescent="0.3">
      <c r="A1" s="1" t="s">
        <v>99</v>
      </c>
      <c r="G1" s="12" t="s">
        <v>100</v>
      </c>
    </row>
    <row r="2" spans="1:7" x14ac:dyDescent="0.25">
      <c r="A2" s="2" t="s">
        <v>101</v>
      </c>
    </row>
    <row r="4" spans="1:7" x14ac:dyDescent="0.25">
      <c r="A4" s="21" t="s">
        <v>102</v>
      </c>
      <c r="B4" s="20"/>
      <c r="C4" s="20"/>
      <c r="D4" s="13" t="s">
        <v>4</v>
      </c>
      <c r="E4" s="13" t="s">
        <v>103</v>
      </c>
      <c r="F4" s="13" t="s">
        <v>3</v>
      </c>
      <c r="G4" s="13" t="s">
        <v>2</v>
      </c>
    </row>
    <row r="5" spans="1:7" x14ac:dyDescent="0.25">
      <c r="A5" s="19" t="s">
        <v>104</v>
      </c>
      <c r="B5" s="20"/>
      <c r="C5" s="20"/>
      <c r="D5" s="6" t="s">
        <v>11</v>
      </c>
      <c r="E5" s="6"/>
      <c r="F5" s="6" t="s">
        <v>92</v>
      </c>
      <c r="G5" s="6" t="s">
        <v>96</v>
      </c>
    </row>
    <row r="7" spans="1:7" x14ac:dyDescent="0.25">
      <c r="A7" s="4" t="s">
        <v>105</v>
      </c>
      <c r="B7" s="3" t="s">
        <v>106</v>
      </c>
      <c r="C7" s="5" t="s">
        <v>107</v>
      </c>
      <c r="D7" s="4" t="s">
        <v>108</v>
      </c>
      <c r="E7" s="14" t="s">
        <v>6</v>
      </c>
      <c r="F7" s="4" t="s">
        <v>109</v>
      </c>
      <c r="G7" s="14" t="s">
        <v>7</v>
      </c>
    </row>
    <row r="8" spans="1:7" x14ac:dyDescent="0.25">
      <c r="A8" s="15">
        <v>615</v>
      </c>
      <c r="B8" s="16"/>
      <c r="C8" s="17" t="s">
        <v>576</v>
      </c>
      <c r="D8" s="18"/>
      <c r="E8" s="18" t="str">
        <f>IF(ISNUMBER(D8), A8*D8, "")</f>
        <v/>
      </c>
      <c r="F8" s="18">
        <v>15</v>
      </c>
      <c r="G8" s="18">
        <f>A8*F8</f>
        <v>9225</v>
      </c>
    </row>
    <row r="9" spans="1:7" x14ac:dyDescent="0.25">
      <c r="A9" s="15">
        <v>32</v>
      </c>
      <c r="B9" s="16"/>
      <c r="C9" s="17" t="s">
        <v>577</v>
      </c>
      <c r="D9" s="18"/>
      <c r="E9" s="18" t="str">
        <f>IF(ISNUMBER(D9), A9*D9, "")</f>
        <v/>
      </c>
      <c r="F9" s="18">
        <v>60</v>
      </c>
      <c r="G9" s="18">
        <f>A9*F9</f>
        <v>1920</v>
      </c>
    </row>
    <row r="10" spans="1:7" x14ac:dyDescent="0.25">
      <c r="C10" s="10" t="s">
        <v>167</v>
      </c>
      <c r="E10" s="11">
        <f>SUM(E8:E9)</f>
        <v>0</v>
      </c>
      <c r="G10" s="11">
        <f>SUM(G8:G9)</f>
        <v>11145</v>
      </c>
    </row>
  </sheetData>
  <mergeCells count="2">
    <mergeCell ref="A5:C5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Summary</vt:lpstr>
      <vt:lpstr>Quote 01</vt:lpstr>
      <vt:lpstr>Quote 02</vt:lpstr>
      <vt:lpstr>Quote 03</vt:lpstr>
      <vt:lpstr>Quote 04</vt:lpstr>
      <vt:lpstr>Quote 05</vt:lpstr>
      <vt:lpstr>Quote 06</vt:lpstr>
      <vt:lpstr>Quote 07</vt:lpstr>
      <vt:lpstr>Quote 08</vt:lpstr>
      <vt:lpstr>Quote 09</vt:lpstr>
      <vt:lpstr>Quote 10</vt:lpstr>
      <vt:lpstr>Quote 11</vt:lpstr>
      <vt:lpstr>Quote 12</vt:lpstr>
      <vt:lpstr>Quote 13</vt:lpstr>
      <vt:lpstr>Quote 14</vt:lpstr>
      <vt:lpstr>Quote 15</vt:lpstr>
      <vt:lpstr>Quote 16</vt:lpstr>
      <vt:lpstr>Quote 17</vt:lpstr>
      <vt:lpstr>Quote 18</vt:lpstr>
      <vt:lpstr>Quote 19</vt:lpstr>
      <vt:lpstr>Quote 20</vt:lpstr>
      <vt:lpstr>Quote 21</vt:lpstr>
      <vt:lpstr>Quote 22</vt:lpstr>
      <vt:lpstr>Quote 23</vt:lpstr>
      <vt:lpstr>Quote 24</vt:lpstr>
      <vt:lpstr>Quote 25</vt:lpstr>
      <vt:lpstr>Quote 26</vt:lpstr>
      <vt:lpstr>Quote 27</vt:lpstr>
      <vt:lpstr>Quote 28</vt:lpstr>
      <vt:lpstr>Quote 29</vt:lpstr>
      <vt:lpstr>Quote 30</vt:lpstr>
      <vt:lpstr>Quote 31</vt:lpstr>
      <vt:lpstr>Quote 32</vt:lpstr>
      <vt:lpstr>Quote 33</vt:lpstr>
      <vt:lpstr>Quote 34</vt:lpstr>
      <vt:lpstr>Quote 35</vt:lpstr>
      <vt:lpstr>Quote 36</vt:lpstr>
      <vt:lpstr>Quote 37</vt:lpstr>
      <vt:lpstr>Quote 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Imel Fano</cp:lastModifiedBy>
  <dcterms:created xsi:type="dcterms:W3CDTF">2026-10-19T02:20:24Z</dcterms:created>
  <dcterms:modified xsi:type="dcterms:W3CDTF">2026-10-19T02:28:35Z</dcterms:modified>
</cp:coreProperties>
</file>